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1097" documentId="8_{7B2FAAB4-C99F-BB44-A2F6-F39A6A1F9A9A}" xr6:coauthVersionLast="47" xr6:coauthVersionMax="47" xr10:uidLastSave="{D4427C3E-ACCE-9D49-835B-FABE49456B48}"/>
  <bookViews>
    <workbookView xWindow="3420" yWindow="740" windowWidth="25980" windowHeight="17180" activeTab="1" xr2:uid="{015A8FDE-A9B3-2147-A675-FAFDB19A3A65}"/>
  </bookViews>
  <sheets>
    <sheet name="Data" sheetId="1" r:id="rId1"/>
    <sheet name="New Data" sheetId="3" r:id="rId2"/>
    <sheet name="Chart Formatt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3" l="1"/>
  <c r="J230" i="3"/>
  <c r="K219" i="3"/>
  <c r="J219" i="3"/>
  <c r="I210" i="3"/>
  <c r="H210" i="3"/>
  <c r="I200" i="3"/>
  <c r="H200" i="3"/>
  <c r="I190" i="3"/>
  <c r="H190" i="3"/>
  <c r="I180" i="3"/>
  <c r="H180" i="3"/>
  <c r="I41" i="3"/>
  <c r="H41" i="3"/>
  <c r="I170" i="3"/>
  <c r="H170" i="3"/>
  <c r="I160" i="3"/>
  <c r="H160" i="3"/>
  <c r="I150" i="3"/>
  <c r="H150" i="3"/>
  <c r="I140" i="3"/>
  <c r="H140" i="3"/>
  <c r="I130" i="3"/>
  <c r="H130" i="3"/>
  <c r="I110" i="3"/>
  <c r="H110" i="3"/>
  <c r="I120" i="3"/>
  <c r="H120" i="3"/>
  <c r="I100" i="3"/>
  <c r="H100" i="3"/>
  <c r="I90" i="3"/>
  <c r="H90" i="3"/>
  <c r="I80" i="3"/>
  <c r="H80" i="3"/>
  <c r="I70" i="3"/>
  <c r="H70" i="3"/>
  <c r="I60" i="3"/>
  <c r="H60" i="3"/>
  <c r="I51" i="3"/>
  <c r="H51" i="3"/>
  <c r="I31" i="3"/>
  <c r="H31" i="3"/>
  <c r="I21" i="3"/>
  <c r="H21" i="3"/>
  <c r="I11" i="3"/>
  <c r="H11" i="3"/>
  <c r="S73" i="2"/>
  <c r="T70" i="2"/>
  <c r="T69" i="2"/>
  <c r="S70" i="2"/>
  <c r="S69" i="2"/>
  <c r="J41" i="1"/>
  <c r="I41" i="1"/>
  <c r="J31" i="1"/>
  <c r="I31" i="1"/>
  <c r="J21" i="1"/>
  <c r="I21" i="1"/>
  <c r="J11" i="1"/>
  <c r="I11" i="1"/>
</calcChain>
</file>

<file path=xl/sharedStrings.xml><?xml version="1.0" encoding="utf-8"?>
<sst xmlns="http://schemas.openxmlformats.org/spreadsheetml/2006/main" count="904" uniqueCount="37">
  <si>
    <t>Sample</t>
  </si>
  <si>
    <t>Type of Paper</t>
  </si>
  <si>
    <t>Coating</t>
  </si>
  <si>
    <t>Location of Break</t>
  </si>
  <si>
    <t>Tabbed or Untabbed</t>
  </si>
  <si>
    <t>HelloFresh</t>
  </si>
  <si>
    <t>Dry Stock</t>
  </si>
  <si>
    <t>Untabbed</t>
  </si>
  <si>
    <t>Date</t>
  </si>
  <si>
    <t>Middle</t>
  </si>
  <si>
    <t>Bottom Clamp</t>
  </si>
  <si>
    <t>Upper Clamp</t>
  </si>
  <si>
    <t>Thickness (mm)</t>
  </si>
  <si>
    <t>Tensile Strength (N)</t>
  </si>
  <si>
    <t>Average</t>
  </si>
  <si>
    <t>Standard Deviation</t>
  </si>
  <si>
    <t>Tabbed</t>
  </si>
  <si>
    <t>0.2 wt% GO</t>
  </si>
  <si>
    <t>0.5 wt% GO</t>
  </si>
  <si>
    <t>0.2wt% GO</t>
  </si>
  <si>
    <t>0.5wt% GO</t>
  </si>
  <si>
    <t>Direction</t>
  </si>
  <si>
    <t>Stock</t>
  </si>
  <si>
    <t>Machine Direction</t>
  </si>
  <si>
    <t>Cross-Machine Direction</t>
  </si>
  <si>
    <t>DI Water</t>
  </si>
  <si>
    <t>0.1 wt% GO</t>
  </si>
  <si>
    <t>0.35 wt% GO</t>
  </si>
  <si>
    <t>0.1wt% GO</t>
  </si>
  <si>
    <t>0.35% GO</t>
  </si>
  <si>
    <t>0.15 wt% GO</t>
  </si>
  <si>
    <t>5% WBBC</t>
  </si>
  <si>
    <t>15% WBBC</t>
  </si>
  <si>
    <t>15% WBBC + 0.1% GO</t>
  </si>
  <si>
    <t>5% WBBC + 0.1% GO</t>
  </si>
  <si>
    <t>IP</t>
  </si>
  <si>
    <t>Metsa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</si>
</sst>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4" fillId="0" borderId="0" xfId="0" applyFont="1"/>
    <xf numFmtId="14" fontId="2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'Chart Formatting'!$S$70:$T$70</c:f>
                <c:numCache>
                  <c:formatCode>General</c:formatCode>
                  <c:ptCount val="2"/>
                  <c:pt idx="0">
                    <c:v>1.6278820596099701</c:v>
                  </c:pt>
                  <c:pt idx="1">
                    <c:v>1.3408952233489386</c:v>
                  </c:pt>
                </c:numCache>
              </c:numRef>
            </c:plus>
            <c:minus>
              <c:numRef>
                <c:f>'Chart Formatting'!$S$70:$T$70</c:f>
                <c:numCache>
                  <c:formatCode>General</c:formatCode>
                  <c:ptCount val="2"/>
                  <c:pt idx="0">
                    <c:v>1.6278820596099701</c:v>
                  </c:pt>
                  <c:pt idx="1">
                    <c:v>1.3408952233489386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'Chart Formatting'!$S$69:$T$69</c:f>
              <c:numCache>
                <c:formatCode>General</c:formatCode>
                <c:ptCount val="2"/>
                <c:pt idx="0">
                  <c:v>51.6</c:v>
                </c:pt>
                <c:pt idx="1">
                  <c:v>29.759999999999998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D-F348-BBFD-5FC7D57C7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976032"/>
        <c:axId val="587228416"/>
      </c:barChart>
      <c:catAx>
        <c:axId val="6079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28416"/>
        <c:crosses val="autoZero"/>
        <c:auto val="1"/>
        <c:lblAlgn val="ctr"/>
        <c:lblOffset val="100"/>
        <c:noMultiLvlLbl val="0"/>
      </c:catAx>
      <c:valAx>
        <c:axId val="5872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7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'Chart Formatting'!$D$16:$D$23</c:f>
                <c:numCache>
                  <c:formatCode>General</c:formatCode>
                  <c:ptCount val="8"/>
                  <c:pt idx="0">
                    <c:v>1.7846257000000001</c:v>
                  </c:pt>
                  <c:pt idx="1">
                    <c:v>1.9015782918407542</c:v>
                  </c:pt>
                  <c:pt idx="2">
                    <c:v>1.5910862800000001</c:v>
                  </c:pt>
                  <c:pt idx="3">
                    <c:v>0.51180508000000002</c:v>
                  </c:pt>
                  <c:pt idx="4">
                    <c:v>1.25576449</c:v>
                  </c:pt>
                  <c:pt idx="5">
                    <c:v>1.1832629100000001</c:v>
                  </c:pt>
                  <c:pt idx="6">
                    <c:v>1.6939106627367733</c:v>
                  </c:pt>
                  <c:pt idx="7">
                    <c:v>0.93932599949822138</c:v>
                  </c:pt>
                </c:numCache>
              </c:numRef>
            </c:plus>
            <c:minus>
              <c:numRef>
                <c:f>'Chart Formatting'!$D$16:$D$23</c:f>
                <c:numCache>
                  <c:formatCode>General</c:formatCode>
                  <c:ptCount val="8"/>
                  <c:pt idx="0">
                    <c:v>1.7846257000000001</c:v>
                  </c:pt>
                  <c:pt idx="1">
                    <c:v>1.9015782918407542</c:v>
                  </c:pt>
                  <c:pt idx="2">
                    <c:v>1.5910862800000001</c:v>
                  </c:pt>
                  <c:pt idx="3">
                    <c:v>0.51180508000000002</c:v>
                  </c:pt>
                  <c:pt idx="4">
                    <c:v>1.25576449</c:v>
                  </c:pt>
                  <c:pt idx="5">
                    <c:v>1.1832629100000001</c:v>
                  </c:pt>
                  <c:pt idx="6">
                    <c:v>1.6939106627367733</c:v>
                  </c:pt>
                  <c:pt idx="7">
                    <c:v>0.93932599949822138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'Chart Formatting'!$B$16:$B$23</c:f>
              <c:strCache>
                <c:ptCount val="8"/>
                <c:pt idx="0">
                  <c:v>Dry Stock</c:v>
                </c:pt>
                <c:pt idx="1">
                  <c:v>DI Water</c:v>
                </c:pt>
                <c:pt idx="2">
                  <c:v>0.1wt% GO</c:v>
                </c:pt>
                <c:pt idx="3">
                  <c:v>0.2wt% GO</c:v>
                </c:pt>
                <c:pt idx="4">
                  <c:v>0.35% GO</c:v>
                </c:pt>
                <c:pt idx="5">
                  <c:v>0.5wt% GO</c:v>
                </c:pt>
                <c:pt idx="6">
                  <c:v>15% WBBC</c:v>
                </c:pt>
                <c:pt idx="7">
                  <c:v>15% WBBC + 0.1% GO</c:v>
                </c:pt>
              </c:strCache>
            </c:strRef>
          </c:cat>
          <c:val>
            <c:numRef>
              <c:f>'Chart Formatting'!$C$16:$C$23</c:f>
              <c:numCache>
                <c:formatCode>General</c:formatCode>
                <c:ptCount val="8"/>
                <c:pt idx="0">
                  <c:v>30.76</c:v>
                </c:pt>
                <c:pt idx="1">
                  <c:v>22.759999999999998</c:v>
                </c:pt>
                <c:pt idx="2">
                  <c:v>28.66</c:v>
                </c:pt>
                <c:pt idx="3">
                  <c:v>28.22</c:v>
                </c:pt>
                <c:pt idx="4">
                  <c:v>29.28</c:v>
                </c:pt>
                <c:pt idx="5">
                  <c:v>28.43</c:v>
                </c:pt>
                <c:pt idx="6">
                  <c:v>28.140000000000004</c:v>
                </c:pt>
                <c:pt idx="7">
                  <c:v>33.83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C-A74A-A929-18270755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689919"/>
        <c:axId val="1725707071"/>
      </c:barChart>
      <c:catAx>
        <c:axId val="172568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07071"/>
        <c:crosses val="autoZero"/>
        <c:auto val="1"/>
        <c:lblAlgn val="ctr"/>
        <c:lblOffset val="100"/>
        <c:noMultiLvlLbl val="0"/>
      </c:catAx>
      <c:valAx>
        <c:axId val="17257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8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'Chart Formatting'!$D$6:$D$11</c:f>
                <c:numCache>
                  <c:formatCode>General</c:formatCode>
                  <c:ptCount val="6"/>
                  <c:pt idx="0">
                    <c:v>2.5599696178752671</c:v>
                  </c:pt>
                  <c:pt idx="1">
                    <c:v>4.2166468999999998</c:v>
                  </c:pt>
                  <c:pt idx="2">
                    <c:v>1.1177358100000001</c:v>
                  </c:pt>
                  <c:pt idx="3">
                    <c:v>2.1624060699999998</c:v>
                  </c:pt>
                  <c:pt idx="4">
                    <c:v>1.5331884</c:v>
                  </c:pt>
                  <c:pt idx="5">
                    <c:v>2.5077657200000001</c:v>
                  </c:pt>
                </c:numCache>
              </c:numRef>
            </c:plus>
            <c:minus>
              <c:numRef>
                <c:f>'Chart Formatting'!$D$6:$D$11</c:f>
                <c:numCache>
                  <c:formatCode>General</c:formatCode>
                  <c:ptCount val="6"/>
                  <c:pt idx="0">
                    <c:v>2.5599696178752671</c:v>
                  </c:pt>
                  <c:pt idx="1">
                    <c:v>4.2166468999999998</c:v>
                  </c:pt>
                  <c:pt idx="2">
                    <c:v>1.1177358100000001</c:v>
                  </c:pt>
                  <c:pt idx="3">
                    <c:v>2.1624060699999998</c:v>
                  </c:pt>
                  <c:pt idx="4">
                    <c:v>1.5331884</c:v>
                  </c:pt>
                  <c:pt idx="5">
                    <c:v>2.5077657200000001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'Chart Formatting'!$B$6:$B$11</c:f>
              <c:strCache>
                <c:ptCount val="6"/>
                <c:pt idx="0">
                  <c:v>Dry Stock</c:v>
                </c:pt>
                <c:pt idx="1">
                  <c:v>DI Water</c:v>
                </c:pt>
                <c:pt idx="2">
                  <c:v>0.1wt% GO</c:v>
                </c:pt>
                <c:pt idx="3">
                  <c:v>0.2wt% GO</c:v>
                </c:pt>
                <c:pt idx="4">
                  <c:v>0.35% GO</c:v>
                </c:pt>
                <c:pt idx="5">
                  <c:v>0.5wt% GO</c:v>
                </c:pt>
              </c:strCache>
            </c:strRef>
          </c:cat>
          <c:val>
            <c:numRef>
              <c:f>'Chart Formatting'!$C$6:$C$11</c:f>
              <c:numCache>
                <c:formatCode>General</c:formatCode>
                <c:ptCount val="6"/>
                <c:pt idx="0">
                  <c:v>60.27</c:v>
                </c:pt>
                <c:pt idx="1">
                  <c:v>51.83</c:v>
                </c:pt>
                <c:pt idx="2">
                  <c:v>52.66</c:v>
                </c:pt>
                <c:pt idx="3">
                  <c:v>57.64</c:v>
                </c:pt>
                <c:pt idx="4">
                  <c:v>55.28</c:v>
                </c:pt>
                <c:pt idx="5">
                  <c:v>59.1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F-974C-B9B7-CDEFECDC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543391"/>
        <c:axId val="1400777967"/>
      </c:barChart>
      <c:catAx>
        <c:axId val="171054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77967"/>
        <c:crosses val="autoZero"/>
        <c:auto val="1"/>
        <c:lblAlgn val="ctr"/>
        <c:lblOffset val="100"/>
        <c:noMultiLvlLbl val="0"/>
      </c:catAx>
      <c:valAx>
        <c:axId val="14007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4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Strength</a:t>
            </a:r>
            <a:r>
              <a:rPr lang="en-US" b="1" baseline="0">
                <a:solidFill>
                  <a:schemeClr val="tx1"/>
                </a:solidFill>
              </a:rPr>
              <a:t> of Various Paper Coatings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'Chart Formatting'!$D$6:$D$13</c:f>
                <c:numCache>
                  <c:formatCode>General</c:formatCode>
                  <c:ptCount val="8"/>
                  <c:pt idx="0">
                    <c:v>2.5599696178752671</c:v>
                  </c:pt>
                  <c:pt idx="1">
                    <c:v>4.2166468999999998</c:v>
                  </c:pt>
                  <c:pt idx="2">
                    <c:v>1.1177358100000001</c:v>
                  </c:pt>
                  <c:pt idx="3">
                    <c:v>2.1624060699999998</c:v>
                  </c:pt>
                  <c:pt idx="4">
                    <c:v>1.5331884</c:v>
                  </c:pt>
                  <c:pt idx="5">
                    <c:v>2.5077657200000001</c:v>
                  </c:pt>
                  <c:pt idx="6">
                    <c:v>2.6067433918802054</c:v>
                  </c:pt>
                  <c:pt idx="7">
                    <c:v>3.5238236807952448</c:v>
                  </c:pt>
                </c:numCache>
              </c:numRef>
            </c:plus>
            <c:minus>
              <c:numRef>
                <c:f>'Chart Formatting'!$D$6:$D$13</c:f>
                <c:numCache>
                  <c:formatCode>General</c:formatCode>
                  <c:ptCount val="8"/>
                  <c:pt idx="0">
                    <c:v>2.5599696178752671</c:v>
                  </c:pt>
                  <c:pt idx="1">
                    <c:v>4.2166468999999998</c:v>
                  </c:pt>
                  <c:pt idx="2">
                    <c:v>1.1177358100000001</c:v>
                  </c:pt>
                  <c:pt idx="3">
                    <c:v>2.1624060699999998</c:v>
                  </c:pt>
                  <c:pt idx="4">
                    <c:v>1.5331884</c:v>
                  </c:pt>
                  <c:pt idx="5">
                    <c:v>2.5077657200000001</c:v>
                  </c:pt>
                  <c:pt idx="6">
                    <c:v>2.6067433918802054</c:v>
                  </c:pt>
                  <c:pt idx="7">
                    <c:v>3.5238236807952448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'Chart Formatting'!$B$6:$B$13</c:f>
              <c:strCache>
                <c:ptCount val="8"/>
                <c:pt idx="0">
                  <c:v>Dry Stock</c:v>
                </c:pt>
                <c:pt idx="1">
                  <c:v>DI Water</c:v>
                </c:pt>
                <c:pt idx="2">
                  <c:v>0.1wt% GO</c:v>
                </c:pt>
                <c:pt idx="3">
                  <c:v>0.2wt% GO</c:v>
                </c:pt>
                <c:pt idx="4">
                  <c:v>0.35% GO</c:v>
                </c:pt>
                <c:pt idx="5">
                  <c:v>0.5wt% GO</c:v>
                </c:pt>
                <c:pt idx="6">
                  <c:v>15% WBBC</c:v>
                </c:pt>
                <c:pt idx="7">
                  <c:v>15% WBBC + 0.1% GO</c:v>
                </c:pt>
              </c:strCache>
            </c:strRef>
          </c:cat>
          <c:val>
            <c:numRef>
              <c:f>'Chart Formatting'!$C$6:$C$13</c:f>
              <c:numCache>
                <c:formatCode>General</c:formatCode>
                <c:ptCount val="8"/>
                <c:pt idx="0">
                  <c:v>60.27</c:v>
                </c:pt>
                <c:pt idx="1">
                  <c:v>51.83</c:v>
                </c:pt>
                <c:pt idx="2">
                  <c:v>52.66</c:v>
                </c:pt>
                <c:pt idx="3">
                  <c:v>57.64</c:v>
                </c:pt>
                <c:pt idx="4">
                  <c:v>55.28</c:v>
                </c:pt>
                <c:pt idx="5">
                  <c:v>59.1</c:v>
                </c:pt>
                <c:pt idx="6">
                  <c:v>61.61999999999999</c:v>
                </c:pt>
                <c:pt idx="7">
                  <c:v>68.819999999999993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D-2642-A781-92E3EB14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854432"/>
        <c:axId val="1044874912"/>
      </c:barChart>
      <c:catAx>
        <c:axId val="15448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74912"/>
        <c:crosses val="autoZero"/>
        <c:auto val="1"/>
        <c:lblAlgn val="ctr"/>
        <c:lblOffset val="100"/>
        <c:noMultiLvlLbl val="0"/>
      </c:catAx>
      <c:valAx>
        <c:axId val="1044874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Tensile</a:t>
                </a:r>
                <a:r>
                  <a:rPr lang="en-US" baseline="0">
                    <a:solidFill>
                      <a:schemeClr val="tx1"/>
                    </a:solidFill>
                  </a:rPr>
                  <a:t> Strength (N)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1416440465330517E-2"/>
              <c:y val="0.36998974378111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85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335560</xdr:colOff>
      <xdr:row>64</xdr:row>
      <xdr:rowOff>178034</xdr:rowOff>
    </xdr:from>
    <xdr:to>
      <xdr:col>28</xdr:col>
      <xdr:colOff>771322</xdr:colOff>
      <xdr:row>78</xdr:row>
      <xdr:rowOff>148206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DCADDD-BAA6-A601-74C8-95147F262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242348</xdr:colOff>
      <xdr:row>20</xdr:row>
      <xdr:rowOff>9088</xdr:rowOff>
    </xdr:from>
    <xdr:to>
      <xdr:col>12</xdr:col>
      <xdr:colOff>69907</xdr:colOff>
      <xdr:row>33</xdr:row>
      <xdr:rowOff>177334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478D10-365F-F682-EA8D-5BCC489AF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329734</xdr:colOff>
      <xdr:row>4</xdr:row>
      <xdr:rowOff>113949</xdr:rowOff>
    </xdr:from>
    <xdr:to>
      <xdr:col>10</xdr:col>
      <xdr:colOff>765495</xdr:colOff>
      <xdr:row>18</xdr:row>
      <xdr:rowOff>84122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B595E2-D759-77E8-6F1E-6D507569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313267</xdr:colOff>
      <xdr:row>3</xdr:row>
      <xdr:rowOff>105832</xdr:rowOff>
    </xdr:from>
    <xdr:to>
      <xdr:col>19</xdr:col>
      <xdr:colOff>127000</xdr:colOff>
      <xdr:row>20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4A6B5-D716-5AD8-04CF-589CADB4C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D0D8-1B5A-2243-BEBA-2C61C8E174AC}">
  <dimension ref="A1:J61"/>
  <sheetViews>
    <sheetView zoomScale="94" workbookViewId="0">
      <selection activeCell="A42" sqref="A42:C61"/>
    </sheetView>
  </sheetViews>
  <sheetFormatPr baseColWidth="10" defaultRowHeight="16" x14ac:dyDescent="0.2"/>
  <cols>
    <col min="3" max="3" width="22.33203125" customWidth="1"/>
    <col min="4" max="4" width="15.6640625" customWidth="1"/>
    <col min="5" max="5" width="19" customWidth="1"/>
    <col min="6" max="6" width="15.6640625" customWidth="1"/>
  </cols>
  <sheetData>
    <row r="1" spans="1:10" ht="34" x14ac:dyDescent="0.2">
      <c r="A1" s="1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3</v>
      </c>
      <c r="G1" s="2" t="s">
        <v>4</v>
      </c>
      <c r="H1" s="2" t="s">
        <v>8</v>
      </c>
      <c r="I1" s="2" t="s">
        <v>14</v>
      </c>
      <c r="J1" s="7" t="s">
        <v>15</v>
      </c>
    </row>
    <row r="2" spans="1:10" ht="17" x14ac:dyDescent="0.2">
      <c r="A2" s="3">
        <v>1</v>
      </c>
      <c r="B2" s="4" t="s">
        <v>5</v>
      </c>
      <c r="C2" s="4" t="s">
        <v>6</v>
      </c>
      <c r="D2" s="4">
        <v>0.14000000000000001</v>
      </c>
      <c r="E2" s="4">
        <v>29.5</v>
      </c>
      <c r="F2" s="4" t="s">
        <v>9</v>
      </c>
      <c r="G2" s="4" t="s">
        <v>7</v>
      </c>
      <c r="H2" s="5">
        <v>46044</v>
      </c>
    </row>
    <row r="3" spans="1:10" ht="17" x14ac:dyDescent="0.2">
      <c r="A3" s="3">
        <v>2</v>
      </c>
      <c r="B3" s="4" t="s">
        <v>5</v>
      </c>
      <c r="C3" s="4" t="s">
        <v>6</v>
      </c>
      <c r="D3" s="4">
        <v>0.14000000000000001</v>
      </c>
      <c r="E3" s="6">
        <v>28.4</v>
      </c>
      <c r="F3" s="4" t="s">
        <v>9</v>
      </c>
      <c r="G3" s="4" t="s">
        <v>7</v>
      </c>
      <c r="H3" s="5">
        <v>46044</v>
      </c>
    </row>
    <row r="4" spans="1:10" ht="23" customHeight="1" x14ac:dyDescent="0.2">
      <c r="A4" s="3">
        <v>3</v>
      </c>
      <c r="B4" s="4" t="s">
        <v>5</v>
      </c>
      <c r="C4" s="4" t="s">
        <v>6</v>
      </c>
      <c r="D4" s="4">
        <v>0.14000000000000001</v>
      </c>
      <c r="E4" s="4">
        <v>25.2</v>
      </c>
      <c r="F4" s="4" t="s">
        <v>10</v>
      </c>
      <c r="G4" s="4" t="s">
        <v>7</v>
      </c>
      <c r="H4" s="5">
        <v>46044</v>
      </c>
    </row>
    <row r="5" spans="1:10" ht="17" x14ac:dyDescent="0.2">
      <c r="A5" s="3">
        <v>4</v>
      </c>
      <c r="B5" s="4" t="s">
        <v>5</v>
      </c>
      <c r="C5" s="4" t="s">
        <v>6</v>
      </c>
      <c r="D5" s="4">
        <v>0.14000000000000001</v>
      </c>
      <c r="E5" s="4">
        <v>27.5</v>
      </c>
      <c r="F5" s="4" t="s">
        <v>11</v>
      </c>
      <c r="G5" s="4" t="s">
        <v>7</v>
      </c>
      <c r="H5" s="5">
        <v>46044</v>
      </c>
    </row>
    <row r="6" spans="1:10" ht="17" x14ac:dyDescent="0.2">
      <c r="A6" s="3">
        <v>5</v>
      </c>
      <c r="B6" s="4" t="s">
        <v>5</v>
      </c>
      <c r="C6" s="4" t="s">
        <v>6</v>
      </c>
      <c r="D6" s="4">
        <v>0.14000000000000001</v>
      </c>
      <c r="E6" s="4">
        <v>26.8</v>
      </c>
      <c r="F6" s="4" t="s">
        <v>11</v>
      </c>
      <c r="G6" s="4" t="s">
        <v>7</v>
      </c>
      <c r="H6" s="5">
        <v>46044</v>
      </c>
    </row>
    <row r="7" spans="1:10" ht="17" x14ac:dyDescent="0.2">
      <c r="A7" s="3">
        <v>6</v>
      </c>
      <c r="B7" s="4" t="s">
        <v>5</v>
      </c>
      <c r="C7" s="4" t="s">
        <v>6</v>
      </c>
      <c r="D7" s="4">
        <v>0.14000000000000001</v>
      </c>
      <c r="E7" s="4">
        <v>27.2</v>
      </c>
      <c r="F7" s="4" t="s">
        <v>9</v>
      </c>
      <c r="G7" s="4" t="s">
        <v>7</v>
      </c>
      <c r="H7" s="5">
        <v>46044</v>
      </c>
    </row>
    <row r="8" spans="1:10" ht="17" x14ac:dyDescent="0.2">
      <c r="A8" s="3">
        <v>7</v>
      </c>
      <c r="B8" s="4" t="s">
        <v>5</v>
      </c>
      <c r="C8" s="4" t="s">
        <v>6</v>
      </c>
      <c r="D8" s="4">
        <v>0.14000000000000001</v>
      </c>
      <c r="E8" s="4">
        <v>28.2</v>
      </c>
      <c r="F8" s="4" t="s">
        <v>11</v>
      </c>
      <c r="G8" s="4" t="s">
        <v>7</v>
      </c>
      <c r="H8" s="5">
        <v>46044</v>
      </c>
    </row>
    <row r="9" spans="1:10" ht="17" x14ac:dyDescent="0.2">
      <c r="A9" s="3">
        <v>8</v>
      </c>
      <c r="B9" s="4" t="s">
        <v>5</v>
      </c>
      <c r="C9" s="4" t="s">
        <v>6</v>
      </c>
      <c r="D9" s="4">
        <v>0.14000000000000001</v>
      </c>
      <c r="E9" s="4">
        <v>26.7</v>
      </c>
      <c r="F9" s="4" t="s">
        <v>9</v>
      </c>
      <c r="G9" s="4" t="s">
        <v>7</v>
      </c>
      <c r="H9" s="5">
        <v>46044</v>
      </c>
    </row>
    <row r="10" spans="1:10" ht="17" x14ac:dyDescent="0.2">
      <c r="A10" s="3">
        <v>9</v>
      </c>
      <c r="B10" s="4" t="s">
        <v>5</v>
      </c>
      <c r="C10" s="4" t="s">
        <v>6</v>
      </c>
      <c r="D10" s="4">
        <v>0.14000000000000001</v>
      </c>
      <c r="E10" s="4">
        <v>26.5</v>
      </c>
      <c r="F10" s="4" t="s">
        <v>11</v>
      </c>
      <c r="G10" s="4" t="s">
        <v>7</v>
      </c>
      <c r="H10" s="5">
        <v>46044</v>
      </c>
    </row>
    <row r="11" spans="1:10" ht="17" x14ac:dyDescent="0.2">
      <c r="A11" s="3">
        <v>10</v>
      </c>
      <c r="B11" s="4" t="s">
        <v>5</v>
      </c>
      <c r="C11" s="4" t="s">
        <v>6</v>
      </c>
      <c r="D11" s="4">
        <v>0.14000000000000001</v>
      </c>
      <c r="E11" s="4">
        <v>26.3</v>
      </c>
      <c r="F11" s="4" t="s">
        <v>9</v>
      </c>
      <c r="G11" s="4" t="s">
        <v>7</v>
      </c>
      <c r="H11" s="5">
        <v>46044</v>
      </c>
      <c r="I11" s="8">
        <f>AVERAGE(E2:E11)</f>
        <v>27.229999999999997</v>
      </c>
      <c r="J11" s="8">
        <f>STDEV(E2:E11)</f>
        <v>1.2256970805763279</v>
      </c>
    </row>
    <row r="12" spans="1:10" ht="17" x14ac:dyDescent="0.2">
      <c r="A12" s="3">
        <v>1</v>
      </c>
      <c r="B12" s="4" t="s">
        <v>5</v>
      </c>
      <c r="C12" s="4" t="s">
        <v>6</v>
      </c>
      <c r="D12" s="4">
        <v>0.14000000000000001</v>
      </c>
      <c r="E12" s="4">
        <v>66.400000000000006</v>
      </c>
      <c r="F12" s="4" t="s">
        <v>9</v>
      </c>
      <c r="G12" s="4" t="s">
        <v>16</v>
      </c>
      <c r="H12" s="5">
        <v>46045</v>
      </c>
    </row>
    <row r="13" spans="1:10" ht="17" x14ac:dyDescent="0.2">
      <c r="A13" s="3">
        <v>2</v>
      </c>
      <c r="B13" s="4" t="s">
        <v>5</v>
      </c>
      <c r="C13" s="4" t="s">
        <v>6</v>
      </c>
      <c r="D13" s="4">
        <v>0.14000000000000001</v>
      </c>
      <c r="E13" s="4">
        <v>53.7</v>
      </c>
      <c r="F13" s="4" t="s">
        <v>9</v>
      </c>
      <c r="G13" s="4" t="s">
        <v>16</v>
      </c>
      <c r="H13" s="5">
        <v>46045</v>
      </c>
    </row>
    <row r="14" spans="1:10" ht="17" x14ac:dyDescent="0.2">
      <c r="A14" s="3">
        <v>3</v>
      </c>
      <c r="B14" s="4" t="s">
        <v>5</v>
      </c>
      <c r="C14" s="4" t="s">
        <v>6</v>
      </c>
      <c r="D14" s="4">
        <v>0.14000000000000001</v>
      </c>
      <c r="E14" s="4">
        <v>49.4</v>
      </c>
      <c r="F14" s="4" t="s">
        <v>10</v>
      </c>
      <c r="G14" s="4" t="s">
        <v>16</v>
      </c>
      <c r="H14" s="5">
        <v>46045</v>
      </c>
    </row>
    <row r="15" spans="1:10" ht="17" x14ac:dyDescent="0.2">
      <c r="A15" s="3">
        <v>4</v>
      </c>
      <c r="B15" s="4" t="s">
        <v>5</v>
      </c>
      <c r="C15" s="4" t="s">
        <v>6</v>
      </c>
      <c r="D15" s="4">
        <v>0.14000000000000001</v>
      </c>
      <c r="E15" s="4">
        <v>67.8</v>
      </c>
      <c r="F15" s="4" t="s">
        <v>9</v>
      </c>
      <c r="G15" s="4" t="s">
        <v>16</v>
      </c>
      <c r="H15" s="5">
        <v>46045</v>
      </c>
    </row>
    <row r="16" spans="1:10" ht="17" x14ac:dyDescent="0.2">
      <c r="A16" s="3">
        <v>5</v>
      </c>
      <c r="B16" s="4" t="s">
        <v>5</v>
      </c>
      <c r="C16" s="4" t="s">
        <v>6</v>
      </c>
      <c r="D16" s="4">
        <v>0.14000000000000001</v>
      </c>
      <c r="E16" s="4">
        <v>52.5</v>
      </c>
      <c r="F16" s="4" t="s">
        <v>10</v>
      </c>
      <c r="G16" s="4" t="s">
        <v>16</v>
      </c>
      <c r="H16" s="5">
        <v>46045</v>
      </c>
    </row>
    <row r="17" spans="1:10" ht="17" x14ac:dyDescent="0.2">
      <c r="A17" s="3">
        <v>6</v>
      </c>
      <c r="B17" s="4" t="s">
        <v>5</v>
      </c>
      <c r="C17" s="4" t="s">
        <v>6</v>
      </c>
      <c r="D17" s="4">
        <v>0.14000000000000001</v>
      </c>
      <c r="E17" s="4">
        <v>54.3</v>
      </c>
      <c r="F17" s="4" t="s">
        <v>11</v>
      </c>
      <c r="G17" s="4" t="s">
        <v>16</v>
      </c>
      <c r="H17" s="5">
        <v>46045</v>
      </c>
    </row>
    <row r="18" spans="1:10" ht="17" x14ac:dyDescent="0.2">
      <c r="A18" s="3">
        <v>7</v>
      </c>
      <c r="B18" s="4" t="s">
        <v>5</v>
      </c>
      <c r="C18" s="4" t="s">
        <v>6</v>
      </c>
      <c r="D18" s="4">
        <v>0.14000000000000001</v>
      </c>
      <c r="E18" s="4">
        <v>55.1</v>
      </c>
      <c r="F18" s="4" t="s">
        <v>10</v>
      </c>
      <c r="G18" s="4" t="s">
        <v>16</v>
      </c>
      <c r="H18" s="5">
        <v>46045</v>
      </c>
    </row>
    <row r="19" spans="1:10" ht="17" x14ac:dyDescent="0.2">
      <c r="A19" s="3">
        <v>8</v>
      </c>
      <c r="B19" s="4" t="s">
        <v>5</v>
      </c>
      <c r="C19" s="4" t="s">
        <v>6</v>
      </c>
      <c r="D19" s="4">
        <v>0.14000000000000001</v>
      </c>
      <c r="E19" s="4">
        <v>54.6</v>
      </c>
      <c r="F19" s="4" t="s">
        <v>10</v>
      </c>
      <c r="G19" s="4" t="s">
        <v>16</v>
      </c>
      <c r="H19" s="5">
        <v>46045</v>
      </c>
    </row>
    <row r="20" spans="1:10" ht="17" x14ac:dyDescent="0.2">
      <c r="A20" s="3">
        <v>9</v>
      </c>
      <c r="B20" s="4" t="s">
        <v>5</v>
      </c>
      <c r="C20" s="4" t="s">
        <v>6</v>
      </c>
      <c r="D20" s="4">
        <v>0.14000000000000001</v>
      </c>
      <c r="E20" s="4">
        <v>58.2</v>
      </c>
      <c r="F20" s="4" t="s">
        <v>9</v>
      </c>
      <c r="G20" s="4" t="s">
        <v>16</v>
      </c>
      <c r="H20" s="5">
        <v>46045</v>
      </c>
    </row>
    <row r="21" spans="1:10" ht="17" x14ac:dyDescent="0.2">
      <c r="A21" s="3">
        <v>10</v>
      </c>
      <c r="B21" s="4" t="s">
        <v>5</v>
      </c>
      <c r="C21" s="4" t="s">
        <v>6</v>
      </c>
      <c r="D21" s="4">
        <v>0.14000000000000001</v>
      </c>
      <c r="E21" s="4">
        <v>57.7</v>
      </c>
      <c r="F21" s="4" t="s">
        <v>9</v>
      </c>
      <c r="G21" s="4" t="s">
        <v>16</v>
      </c>
      <c r="H21" s="5">
        <v>46045</v>
      </c>
      <c r="I21" s="8">
        <f>AVERAGE(E12:E21)</f>
        <v>56.970000000000013</v>
      </c>
      <c r="J21" s="8">
        <f>STDEV(E12:E21)</f>
        <v>5.892377373447081</v>
      </c>
    </row>
    <row r="22" spans="1:10" ht="23" customHeight="1" x14ac:dyDescent="0.2">
      <c r="A22" s="3">
        <v>1</v>
      </c>
      <c r="B22" s="4" t="s">
        <v>5</v>
      </c>
      <c r="C22" s="4" t="s">
        <v>17</v>
      </c>
      <c r="D22" s="4">
        <v>0.16</v>
      </c>
      <c r="E22" s="4">
        <v>28.5</v>
      </c>
      <c r="F22" s="4" t="s">
        <v>9</v>
      </c>
      <c r="G22" s="4" t="s">
        <v>16</v>
      </c>
      <c r="H22" s="9">
        <v>46049</v>
      </c>
    </row>
    <row r="23" spans="1:10" ht="17" x14ac:dyDescent="0.2">
      <c r="A23" s="3">
        <v>2</v>
      </c>
      <c r="B23" s="4" t="s">
        <v>5</v>
      </c>
      <c r="C23" s="4" t="s">
        <v>17</v>
      </c>
      <c r="D23" s="4">
        <v>0.16</v>
      </c>
      <c r="E23" s="4">
        <v>26.4</v>
      </c>
      <c r="F23" s="4" t="s">
        <v>9</v>
      </c>
      <c r="G23" s="4" t="s">
        <v>16</v>
      </c>
      <c r="H23" s="9">
        <v>46049</v>
      </c>
    </row>
    <row r="24" spans="1:10" ht="17" x14ac:dyDescent="0.2">
      <c r="A24" s="3">
        <v>3</v>
      </c>
      <c r="B24" s="4" t="s">
        <v>5</v>
      </c>
      <c r="C24" s="4" t="s">
        <v>17</v>
      </c>
      <c r="D24" s="4">
        <v>0.15</v>
      </c>
      <c r="E24" s="4">
        <v>25.8</v>
      </c>
      <c r="F24" s="4" t="s">
        <v>9</v>
      </c>
      <c r="G24" s="4" t="s">
        <v>16</v>
      </c>
      <c r="H24" s="9">
        <v>46049</v>
      </c>
    </row>
    <row r="25" spans="1:10" ht="17" x14ac:dyDescent="0.2">
      <c r="A25" s="3">
        <v>4</v>
      </c>
      <c r="B25" s="4" t="s">
        <v>5</v>
      </c>
      <c r="C25" s="4" t="s">
        <v>17</v>
      </c>
      <c r="D25" s="4">
        <v>0.16</v>
      </c>
      <c r="E25" s="4">
        <v>24.1</v>
      </c>
      <c r="F25" s="4" t="s">
        <v>9</v>
      </c>
      <c r="G25" s="4" t="s">
        <v>16</v>
      </c>
      <c r="H25" s="9">
        <v>46049</v>
      </c>
    </row>
    <row r="26" spans="1:10" ht="17" x14ac:dyDescent="0.2">
      <c r="A26" s="3">
        <v>5</v>
      </c>
      <c r="B26" s="4" t="s">
        <v>5</v>
      </c>
      <c r="C26" s="4" t="s">
        <v>17</v>
      </c>
      <c r="D26" s="4">
        <v>0.16</v>
      </c>
      <c r="E26" s="4">
        <v>60.8</v>
      </c>
      <c r="F26" s="4" t="s">
        <v>9</v>
      </c>
      <c r="G26" s="4" t="s">
        <v>16</v>
      </c>
      <c r="H26" s="9">
        <v>46049</v>
      </c>
    </row>
    <row r="27" spans="1:10" ht="17" x14ac:dyDescent="0.2">
      <c r="A27" s="3">
        <v>6</v>
      </c>
      <c r="B27" s="4" t="s">
        <v>5</v>
      </c>
      <c r="C27" s="4" t="s">
        <v>17</v>
      </c>
      <c r="D27" s="4">
        <v>0.16</v>
      </c>
      <c r="E27" s="4">
        <v>52.5</v>
      </c>
      <c r="F27" s="4" t="s">
        <v>9</v>
      </c>
      <c r="G27" s="4" t="s">
        <v>16</v>
      </c>
      <c r="H27" s="9">
        <v>46049</v>
      </c>
    </row>
    <row r="28" spans="1:10" ht="17" x14ac:dyDescent="0.2">
      <c r="A28" s="3">
        <v>7</v>
      </c>
      <c r="B28" s="4" t="s">
        <v>5</v>
      </c>
      <c r="C28" s="4" t="s">
        <v>17</v>
      </c>
      <c r="D28" s="4">
        <v>0.15</v>
      </c>
      <c r="E28" s="4">
        <v>45.7</v>
      </c>
      <c r="F28" s="4" t="s">
        <v>9</v>
      </c>
      <c r="G28" s="4" t="s">
        <v>16</v>
      </c>
      <c r="H28" s="9">
        <v>46049</v>
      </c>
    </row>
    <row r="29" spans="1:10" ht="17" x14ac:dyDescent="0.2">
      <c r="A29" s="3">
        <v>8</v>
      </c>
      <c r="B29" s="4" t="s">
        <v>5</v>
      </c>
      <c r="C29" s="4" t="s">
        <v>17</v>
      </c>
      <c r="D29" s="4">
        <v>0.16</v>
      </c>
      <c r="E29" s="4">
        <v>51.3</v>
      </c>
      <c r="F29" s="4" t="s">
        <v>9</v>
      </c>
      <c r="G29" s="4" t="s">
        <v>16</v>
      </c>
      <c r="H29" s="9">
        <v>46049</v>
      </c>
    </row>
    <row r="30" spans="1:10" ht="17" x14ac:dyDescent="0.2">
      <c r="A30" s="3">
        <v>9</v>
      </c>
      <c r="B30" s="4" t="s">
        <v>5</v>
      </c>
      <c r="C30" s="4" t="s">
        <v>17</v>
      </c>
      <c r="D30" s="4">
        <v>0.16</v>
      </c>
      <c r="E30" s="4">
        <v>50.2</v>
      </c>
      <c r="F30" s="4" t="s">
        <v>9</v>
      </c>
      <c r="G30" s="4" t="s">
        <v>16</v>
      </c>
      <c r="H30" s="9">
        <v>46049</v>
      </c>
    </row>
    <row r="31" spans="1:10" ht="17" x14ac:dyDescent="0.2">
      <c r="A31" s="3">
        <v>10</v>
      </c>
      <c r="B31" s="4" t="s">
        <v>5</v>
      </c>
      <c r="C31" s="4" t="s">
        <v>17</v>
      </c>
      <c r="D31" s="4">
        <v>0.16</v>
      </c>
      <c r="E31" s="4">
        <v>25.2</v>
      </c>
      <c r="F31" s="4" t="s">
        <v>9</v>
      </c>
      <c r="G31" s="4" t="s">
        <v>16</v>
      </c>
      <c r="H31" s="9">
        <v>46049</v>
      </c>
      <c r="I31">
        <f>AVERAGE(E22:E31)</f>
        <v>39.049999999999997</v>
      </c>
      <c r="J31">
        <f>STDEV(E22:E31)</f>
        <v>14.278130129677351</v>
      </c>
    </row>
    <row r="32" spans="1:10" ht="17" x14ac:dyDescent="0.2">
      <c r="A32" s="3">
        <v>1</v>
      </c>
      <c r="B32" s="4" t="s">
        <v>5</v>
      </c>
      <c r="C32" s="4" t="s">
        <v>18</v>
      </c>
      <c r="D32" s="4">
        <v>0.16</v>
      </c>
      <c r="E32" s="4">
        <v>54.2</v>
      </c>
      <c r="F32" s="4" t="s">
        <v>9</v>
      </c>
      <c r="G32" s="4" t="s">
        <v>16</v>
      </c>
      <c r="H32" s="9">
        <v>46051</v>
      </c>
    </row>
    <row r="33" spans="1:10" ht="17" x14ac:dyDescent="0.2">
      <c r="A33" s="3">
        <v>2</v>
      </c>
      <c r="B33" s="4" t="s">
        <v>5</v>
      </c>
      <c r="C33" s="4" t="s">
        <v>18</v>
      </c>
      <c r="D33" s="4">
        <v>0.16</v>
      </c>
      <c r="E33" s="4">
        <v>53.9</v>
      </c>
      <c r="F33" s="4" t="s">
        <v>9</v>
      </c>
      <c r="G33" s="4" t="s">
        <v>16</v>
      </c>
      <c r="H33" s="9">
        <v>46051</v>
      </c>
    </row>
    <row r="34" spans="1:10" ht="17" x14ac:dyDescent="0.2">
      <c r="A34" s="3">
        <v>3</v>
      </c>
      <c r="B34" s="4" t="s">
        <v>5</v>
      </c>
      <c r="C34" s="4" t="s">
        <v>18</v>
      </c>
      <c r="D34" s="4">
        <v>0.17</v>
      </c>
      <c r="E34" s="4">
        <v>61.4</v>
      </c>
      <c r="F34" s="4" t="s">
        <v>9</v>
      </c>
      <c r="G34" s="4" t="s">
        <v>16</v>
      </c>
      <c r="H34" s="9">
        <v>46051</v>
      </c>
    </row>
    <row r="35" spans="1:10" ht="17" x14ac:dyDescent="0.2">
      <c r="A35" s="3">
        <v>4</v>
      </c>
      <c r="B35" s="4" t="s">
        <v>5</v>
      </c>
      <c r="C35" s="4" t="s">
        <v>18</v>
      </c>
      <c r="D35" s="4">
        <v>0.16</v>
      </c>
      <c r="E35" s="4">
        <v>63.9</v>
      </c>
      <c r="F35" s="4" t="s">
        <v>9</v>
      </c>
      <c r="G35" s="4" t="s">
        <v>16</v>
      </c>
      <c r="H35" s="9">
        <v>46051</v>
      </c>
    </row>
    <row r="36" spans="1:10" ht="17" x14ac:dyDescent="0.2">
      <c r="A36" s="3">
        <v>5</v>
      </c>
      <c r="B36" s="4" t="s">
        <v>5</v>
      </c>
      <c r="C36" s="4" t="s">
        <v>18</v>
      </c>
      <c r="D36" s="4">
        <v>0.17</v>
      </c>
      <c r="E36" s="4">
        <v>54.2</v>
      </c>
      <c r="F36" s="4" t="s">
        <v>9</v>
      </c>
      <c r="G36" s="4" t="s">
        <v>16</v>
      </c>
      <c r="H36" s="9">
        <v>46051</v>
      </c>
    </row>
    <row r="37" spans="1:10" ht="17" x14ac:dyDescent="0.2">
      <c r="A37" s="3">
        <v>6</v>
      </c>
      <c r="B37" s="4" t="s">
        <v>5</v>
      </c>
      <c r="C37" s="4" t="s">
        <v>18</v>
      </c>
      <c r="D37" s="4">
        <v>0.17</v>
      </c>
      <c r="E37" s="4">
        <v>52.1</v>
      </c>
      <c r="F37" s="4" t="s">
        <v>9</v>
      </c>
      <c r="G37" s="4" t="s">
        <v>16</v>
      </c>
      <c r="H37" s="9">
        <v>46051</v>
      </c>
    </row>
    <row r="38" spans="1:10" ht="17" x14ac:dyDescent="0.2">
      <c r="A38" s="3">
        <v>7</v>
      </c>
      <c r="B38" s="4" t="s">
        <v>5</v>
      </c>
      <c r="C38" s="4" t="s">
        <v>18</v>
      </c>
      <c r="D38" s="4">
        <v>0.16</v>
      </c>
      <c r="E38" s="4">
        <v>59.2</v>
      </c>
      <c r="F38" s="4" t="s">
        <v>9</v>
      </c>
      <c r="G38" s="4" t="s">
        <v>16</v>
      </c>
      <c r="H38" s="9">
        <v>46051</v>
      </c>
    </row>
    <row r="39" spans="1:10" ht="17" x14ac:dyDescent="0.2">
      <c r="A39" s="3">
        <v>8</v>
      </c>
      <c r="B39" s="4" t="s">
        <v>5</v>
      </c>
      <c r="C39" s="4" t="s">
        <v>18</v>
      </c>
      <c r="D39" s="4">
        <v>0.16</v>
      </c>
      <c r="E39" s="6">
        <v>58</v>
      </c>
      <c r="F39" s="4" t="s">
        <v>9</v>
      </c>
      <c r="G39" s="4" t="s">
        <v>16</v>
      </c>
      <c r="H39" s="9">
        <v>46051</v>
      </c>
    </row>
    <row r="40" spans="1:10" ht="17" x14ac:dyDescent="0.2">
      <c r="A40" s="3">
        <v>9</v>
      </c>
      <c r="B40" s="4" t="s">
        <v>5</v>
      </c>
      <c r="C40" s="4" t="s">
        <v>18</v>
      </c>
      <c r="D40" s="4">
        <v>0.16</v>
      </c>
      <c r="E40" s="4">
        <v>57.4</v>
      </c>
      <c r="F40" s="4" t="s">
        <v>9</v>
      </c>
      <c r="G40" s="4" t="s">
        <v>16</v>
      </c>
      <c r="H40" s="9">
        <v>46051</v>
      </c>
    </row>
    <row r="41" spans="1:10" ht="17" x14ac:dyDescent="0.2">
      <c r="A41" s="3">
        <v>10</v>
      </c>
      <c r="B41" s="4" t="s">
        <v>5</v>
      </c>
      <c r="C41" s="4" t="s">
        <v>18</v>
      </c>
      <c r="D41" s="4">
        <v>0.16</v>
      </c>
      <c r="E41" s="4">
        <v>51</v>
      </c>
      <c r="F41" s="4" t="s">
        <v>9</v>
      </c>
      <c r="G41" s="4" t="s">
        <v>16</v>
      </c>
      <c r="H41" s="9">
        <v>46051</v>
      </c>
      <c r="I41">
        <f>AVERAGE(E32:E41)</f>
        <v>56.530000000000008</v>
      </c>
      <c r="J41">
        <f>STDEV(E32:E41)</f>
        <v>4.1641459041574311</v>
      </c>
    </row>
    <row r="42" spans="1:10" ht="21" customHeight="1" x14ac:dyDescent="0.2">
      <c r="A42" s="3">
        <v>1</v>
      </c>
      <c r="B42" s="4" t="s">
        <v>5</v>
      </c>
      <c r="C42" s="4" t="s">
        <v>33</v>
      </c>
    </row>
    <row r="43" spans="1:10" ht="17" x14ac:dyDescent="0.2">
      <c r="A43" s="3">
        <v>2</v>
      </c>
      <c r="B43" s="4" t="s">
        <v>5</v>
      </c>
      <c r="C43" s="4" t="s">
        <v>33</v>
      </c>
    </row>
    <row r="44" spans="1:10" ht="17" x14ac:dyDescent="0.2">
      <c r="A44" s="3">
        <v>3</v>
      </c>
      <c r="B44" s="4" t="s">
        <v>5</v>
      </c>
      <c r="C44" s="4" t="s">
        <v>33</v>
      </c>
    </row>
    <row r="45" spans="1:10" ht="17" x14ac:dyDescent="0.2">
      <c r="A45" s="3">
        <v>4</v>
      </c>
      <c r="B45" s="4" t="s">
        <v>5</v>
      </c>
      <c r="C45" s="4" t="s">
        <v>33</v>
      </c>
    </row>
    <row r="46" spans="1:10" ht="17" x14ac:dyDescent="0.2">
      <c r="A46" s="3">
        <v>5</v>
      </c>
      <c r="B46" s="4" t="s">
        <v>5</v>
      </c>
      <c r="C46" s="4" t="s">
        <v>33</v>
      </c>
    </row>
    <row r="47" spans="1:10" ht="17" x14ac:dyDescent="0.2">
      <c r="A47" s="3">
        <v>6</v>
      </c>
      <c r="B47" s="4" t="s">
        <v>5</v>
      </c>
      <c r="C47" s="4" t="s">
        <v>33</v>
      </c>
    </row>
    <row r="48" spans="1:10" ht="17" x14ac:dyDescent="0.2">
      <c r="A48" s="3">
        <v>7</v>
      </c>
      <c r="B48" s="4" t="s">
        <v>5</v>
      </c>
      <c r="C48" s="4" t="s">
        <v>33</v>
      </c>
    </row>
    <row r="49" spans="1:3" ht="17" x14ac:dyDescent="0.2">
      <c r="A49" s="3">
        <v>8</v>
      </c>
      <c r="B49" s="4" t="s">
        <v>5</v>
      </c>
      <c r="C49" s="4" t="s">
        <v>33</v>
      </c>
    </row>
    <row r="50" spans="1:3" ht="17" x14ac:dyDescent="0.2">
      <c r="A50" s="3">
        <v>9</v>
      </c>
      <c r="B50" s="4" t="s">
        <v>5</v>
      </c>
      <c r="C50" s="4" t="s">
        <v>33</v>
      </c>
    </row>
    <row r="51" spans="1:3" ht="17" x14ac:dyDescent="0.2">
      <c r="A51" s="3">
        <v>10</v>
      </c>
      <c r="B51" s="4" t="s">
        <v>5</v>
      </c>
      <c r="C51" s="4" t="s">
        <v>33</v>
      </c>
    </row>
    <row r="52" spans="1:3" ht="17" x14ac:dyDescent="0.2">
      <c r="A52" s="3">
        <v>1</v>
      </c>
      <c r="B52" s="4" t="s">
        <v>5</v>
      </c>
      <c r="C52" s="4" t="s">
        <v>33</v>
      </c>
    </row>
    <row r="53" spans="1:3" ht="17" x14ac:dyDescent="0.2">
      <c r="A53" s="3">
        <v>2</v>
      </c>
      <c r="B53" s="4" t="s">
        <v>5</v>
      </c>
      <c r="C53" s="4" t="s">
        <v>33</v>
      </c>
    </row>
    <row r="54" spans="1:3" ht="17" x14ac:dyDescent="0.2">
      <c r="A54" s="3">
        <v>3</v>
      </c>
      <c r="B54" s="4" t="s">
        <v>5</v>
      </c>
      <c r="C54" s="4" t="s">
        <v>33</v>
      </c>
    </row>
    <row r="55" spans="1:3" ht="17" x14ac:dyDescent="0.2">
      <c r="A55" s="3">
        <v>4</v>
      </c>
      <c r="B55" s="4" t="s">
        <v>5</v>
      </c>
      <c r="C55" s="4" t="s">
        <v>33</v>
      </c>
    </row>
    <row r="56" spans="1:3" ht="17" x14ac:dyDescent="0.2">
      <c r="A56" s="3">
        <v>5</v>
      </c>
      <c r="B56" s="4" t="s">
        <v>5</v>
      </c>
      <c r="C56" s="4" t="s">
        <v>33</v>
      </c>
    </row>
    <row r="57" spans="1:3" ht="17" x14ac:dyDescent="0.2">
      <c r="A57" s="3">
        <v>6</v>
      </c>
      <c r="B57" s="4" t="s">
        <v>5</v>
      </c>
      <c r="C57" s="4" t="s">
        <v>33</v>
      </c>
    </row>
    <row r="58" spans="1:3" ht="17" x14ac:dyDescent="0.2">
      <c r="A58" s="3">
        <v>7</v>
      </c>
      <c r="B58" s="4" t="s">
        <v>5</v>
      </c>
      <c r="C58" s="4" t="s">
        <v>33</v>
      </c>
    </row>
    <row r="59" spans="1:3" ht="17" x14ac:dyDescent="0.2">
      <c r="A59" s="3">
        <v>8</v>
      </c>
      <c r="B59" s="4" t="s">
        <v>5</v>
      </c>
      <c r="C59" s="4" t="s">
        <v>33</v>
      </c>
    </row>
    <row r="60" spans="1:3" ht="17" x14ac:dyDescent="0.2">
      <c r="A60" s="3">
        <v>9</v>
      </c>
      <c r="B60" s="4" t="s">
        <v>5</v>
      </c>
      <c r="C60" s="4" t="s">
        <v>33</v>
      </c>
    </row>
    <row r="61" spans="1:3" ht="17" x14ac:dyDescent="0.2">
      <c r="A61" s="3">
        <v>10</v>
      </c>
      <c r="B61" s="4" t="s">
        <v>5</v>
      </c>
      <c r="C61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13D-87D4-2740-A82B-F292F774EA67}">
  <dimension ref="A1:K230"/>
  <sheetViews>
    <sheetView tabSelected="1" topLeftCell="A183" workbookViewId="0">
      <selection activeCell="K231" sqref="K231"/>
    </sheetView>
  </sheetViews>
  <sheetFormatPr baseColWidth="10" defaultRowHeight="16" x14ac:dyDescent="0.2"/>
  <cols>
    <col min="2" max="2" width="15" customWidth="1"/>
    <col min="3" max="3" width="23" customWidth="1"/>
    <col min="5" max="5" width="14" customWidth="1"/>
    <col min="6" max="6" width="22.83203125" customWidth="1"/>
    <col min="7" max="7" width="9.83203125" customWidth="1"/>
  </cols>
  <sheetData>
    <row r="1" spans="1:9" ht="34" x14ac:dyDescent="0.2">
      <c r="A1" s="1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21</v>
      </c>
      <c r="G1" s="2" t="s">
        <v>8</v>
      </c>
      <c r="H1" s="2" t="s">
        <v>14</v>
      </c>
      <c r="I1" s="7" t="s">
        <v>15</v>
      </c>
    </row>
    <row r="2" spans="1:9" x14ac:dyDescent="0.2">
      <c r="A2" s="3">
        <v>1</v>
      </c>
      <c r="B2" s="8" t="s">
        <v>5</v>
      </c>
      <c r="C2" s="8" t="s">
        <v>22</v>
      </c>
      <c r="D2" s="8">
        <v>0.14000000000000001</v>
      </c>
      <c r="E2" s="8">
        <v>59.6</v>
      </c>
      <c r="F2" s="8" t="s">
        <v>23</v>
      </c>
      <c r="G2" s="11">
        <v>46059</v>
      </c>
    </row>
    <row r="3" spans="1:9" x14ac:dyDescent="0.2">
      <c r="A3" s="3">
        <v>2</v>
      </c>
      <c r="B3" s="8" t="s">
        <v>5</v>
      </c>
      <c r="C3" s="8" t="s">
        <v>22</v>
      </c>
      <c r="D3" s="8">
        <v>0.14000000000000001</v>
      </c>
      <c r="E3" s="8">
        <v>62.5</v>
      </c>
      <c r="F3" s="8" t="s">
        <v>23</v>
      </c>
      <c r="G3" s="11">
        <v>46059</v>
      </c>
    </row>
    <row r="4" spans="1:9" x14ac:dyDescent="0.2">
      <c r="A4" s="3">
        <v>3</v>
      </c>
      <c r="B4" s="8" t="s">
        <v>5</v>
      </c>
      <c r="C4" s="8" t="s">
        <v>22</v>
      </c>
      <c r="D4" s="8">
        <v>0.14000000000000001</v>
      </c>
      <c r="E4" s="8">
        <v>63.7</v>
      </c>
      <c r="F4" s="8" t="s">
        <v>23</v>
      </c>
      <c r="G4" s="11">
        <v>46059</v>
      </c>
    </row>
    <row r="5" spans="1:9" x14ac:dyDescent="0.2">
      <c r="A5" s="3">
        <v>4</v>
      </c>
      <c r="B5" s="8" t="s">
        <v>5</v>
      </c>
      <c r="C5" s="8" t="s">
        <v>22</v>
      </c>
      <c r="D5" s="8">
        <v>0.14000000000000001</v>
      </c>
      <c r="E5" s="8">
        <v>58.6</v>
      </c>
      <c r="F5" s="8" t="s">
        <v>23</v>
      </c>
      <c r="G5" s="11">
        <v>46059</v>
      </c>
    </row>
    <row r="6" spans="1:9" x14ac:dyDescent="0.2">
      <c r="A6" s="3">
        <v>5</v>
      </c>
      <c r="B6" s="8" t="s">
        <v>5</v>
      </c>
      <c r="C6" s="8" t="s">
        <v>22</v>
      </c>
      <c r="D6" s="8">
        <v>0.14000000000000001</v>
      </c>
      <c r="E6" s="8">
        <v>62.8</v>
      </c>
      <c r="F6" s="8" t="s">
        <v>23</v>
      </c>
      <c r="G6" s="11">
        <v>46059</v>
      </c>
    </row>
    <row r="7" spans="1:9" x14ac:dyDescent="0.2">
      <c r="A7" s="3">
        <v>6</v>
      </c>
      <c r="B7" s="8" t="s">
        <v>5</v>
      </c>
      <c r="C7" s="8" t="s">
        <v>22</v>
      </c>
      <c r="D7" s="8">
        <v>0.14000000000000001</v>
      </c>
      <c r="E7" s="8">
        <v>57.6</v>
      </c>
      <c r="F7" s="8" t="s">
        <v>23</v>
      </c>
      <c r="G7" s="11">
        <v>46059</v>
      </c>
    </row>
    <row r="8" spans="1:9" x14ac:dyDescent="0.2">
      <c r="A8" s="3">
        <v>7</v>
      </c>
      <c r="B8" s="8" t="s">
        <v>5</v>
      </c>
      <c r="C8" s="8" t="s">
        <v>22</v>
      </c>
      <c r="D8" s="8">
        <v>0.14000000000000001</v>
      </c>
      <c r="E8" s="8">
        <v>57.7</v>
      </c>
      <c r="F8" s="8" t="s">
        <v>23</v>
      </c>
      <c r="G8" s="11">
        <v>46059</v>
      </c>
    </row>
    <row r="9" spans="1:9" x14ac:dyDescent="0.2">
      <c r="A9" s="3">
        <v>8</v>
      </c>
      <c r="B9" s="8" t="s">
        <v>5</v>
      </c>
      <c r="C9" s="8" t="s">
        <v>22</v>
      </c>
      <c r="D9" s="8">
        <v>0.14000000000000001</v>
      </c>
      <c r="E9" s="8">
        <v>56.6</v>
      </c>
      <c r="F9" s="8" t="s">
        <v>23</v>
      </c>
      <c r="G9" s="11">
        <v>46059</v>
      </c>
    </row>
    <row r="10" spans="1:9" x14ac:dyDescent="0.2">
      <c r="A10" s="3">
        <v>9</v>
      </c>
      <c r="B10" s="8" t="s">
        <v>5</v>
      </c>
      <c r="C10" s="8" t="s">
        <v>22</v>
      </c>
      <c r="D10" s="8">
        <v>0.14000000000000001</v>
      </c>
      <c r="E10" s="8">
        <v>61.2</v>
      </c>
      <c r="F10" s="8" t="s">
        <v>23</v>
      </c>
      <c r="G10" s="11">
        <v>46059</v>
      </c>
    </row>
    <row r="11" spans="1:9" x14ac:dyDescent="0.2">
      <c r="A11" s="3">
        <v>10</v>
      </c>
      <c r="B11" s="8" t="s">
        <v>5</v>
      </c>
      <c r="C11" s="8" t="s">
        <v>22</v>
      </c>
      <c r="D11" s="8">
        <v>0.14000000000000001</v>
      </c>
      <c r="E11" s="8">
        <v>62.4</v>
      </c>
      <c r="F11" s="8" t="s">
        <v>23</v>
      </c>
      <c r="G11" s="11">
        <v>46059</v>
      </c>
      <c r="H11">
        <f>AVERAGE(E2:E11)</f>
        <v>60.27</v>
      </c>
      <c r="I11">
        <f>STDEV(E2:E11)</f>
        <v>2.5599696178752671</v>
      </c>
    </row>
    <row r="12" spans="1:9" x14ac:dyDescent="0.2">
      <c r="A12" s="3">
        <v>1</v>
      </c>
      <c r="B12" s="8" t="s">
        <v>5</v>
      </c>
      <c r="C12" s="8" t="s">
        <v>22</v>
      </c>
      <c r="D12" s="8">
        <v>0.14000000000000001</v>
      </c>
      <c r="E12" s="8">
        <v>30.7</v>
      </c>
      <c r="F12" s="8" t="s">
        <v>24</v>
      </c>
      <c r="G12" s="11">
        <v>46059</v>
      </c>
    </row>
    <row r="13" spans="1:9" x14ac:dyDescent="0.2">
      <c r="A13" s="3">
        <v>2</v>
      </c>
      <c r="B13" s="8" t="s">
        <v>5</v>
      </c>
      <c r="C13" s="8" t="s">
        <v>22</v>
      </c>
      <c r="D13" s="8">
        <v>0.14000000000000001</v>
      </c>
      <c r="E13" s="8">
        <v>32.799999999999997</v>
      </c>
      <c r="F13" s="8" t="s">
        <v>24</v>
      </c>
      <c r="G13" s="11">
        <v>46059</v>
      </c>
    </row>
    <row r="14" spans="1:9" x14ac:dyDescent="0.2">
      <c r="A14" s="3">
        <v>3</v>
      </c>
      <c r="B14" s="8" t="s">
        <v>5</v>
      </c>
      <c r="C14" s="8" t="s">
        <v>22</v>
      </c>
      <c r="D14" s="8">
        <v>0.14000000000000001</v>
      </c>
      <c r="E14" s="8">
        <v>29.5</v>
      </c>
      <c r="F14" s="8" t="s">
        <v>24</v>
      </c>
      <c r="G14" s="11">
        <v>46059</v>
      </c>
    </row>
    <row r="15" spans="1:9" x14ac:dyDescent="0.2">
      <c r="A15" s="3">
        <v>4</v>
      </c>
      <c r="B15" s="8" t="s">
        <v>5</v>
      </c>
      <c r="C15" s="8" t="s">
        <v>22</v>
      </c>
      <c r="D15" s="8">
        <v>0.14000000000000001</v>
      </c>
      <c r="E15" s="8">
        <v>31.5</v>
      </c>
      <c r="F15" s="8" t="s">
        <v>24</v>
      </c>
      <c r="G15" s="11">
        <v>46059</v>
      </c>
    </row>
    <row r="16" spans="1:9" x14ac:dyDescent="0.2">
      <c r="A16" s="3">
        <v>5</v>
      </c>
      <c r="B16" s="8" t="s">
        <v>5</v>
      </c>
      <c r="C16" s="8" t="s">
        <v>22</v>
      </c>
      <c r="D16" s="8">
        <v>0.14000000000000001</v>
      </c>
      <c r="E16" s="8">
        <v>31.2</v>
      </c>
      <c r="F16" s="8" t="s">
        <v>24</v>
      </c>
      <c r="G16" s="11">
        <v>46059</v>
      </c>
    </row>
    <row r="17" spans="1:9" x14ac:dyDescent="0.2">
      <c r="A17" s="3">
        <v>6</v>
      </c>
      <c r="B17" s="8" t="s">
        <v>5</v>
      </c>
      <c r="C17" s="8" t="s">
        <v>22</v>
      </c>
      <c r="D17" s="8">
        <v>0.14000000000000001</v>
      </c>
      <c r="E17" s="8">
        <v>29.6</v>
      </c>
      <c r="F17" s="8" t="s">
        <v>24</v>
      </c>
      <c r="G17" s="11">
        <v>46059</v>
      </c>
    </row>
    <row r="18" spans="1:9" x14ac:dyDescent="0.2">
      <c r="A18" s="3">
        <v>7</v>
      </c>
      <c r="B18" s="8" t="s">
        <v>5</v>
      </c>
      <c r="C18" s="8" t="s">
        <v>22</v>
      </c>
      <c r="D18" s="8">
        <v>0.14000000000000001</v>
      </c>
      <c r="E18" s="8">
        <v>33.6</v>
      </c>
      <c r="F18" s="8" t="s">
        <v>24</v>
      </c>
      <c r="G18" s="11">
        <v>46059</v>
      </c>
    </row>
    <row r="19" spans="1:9" x14ac:dyDescent="0.2">
      <c r="A19" s="3">
        <v>8</v>
      </c>
      <c r="B19" s="8" t="s">
        <v>5</v>
      </c>
      <c r="C19" s="8" t="s">
        <v>22</v>
      </c>
      <c r="D19" s="8">
        <v>0.14000000000000001</v>
      </c>
      <c r="E19" s="8">
        <v>31.5</v>
      </c>
      <c r="F19" s="8" t="s">
        <v>24</v>
      </c>
      <c r="G19" s="11">
        <v>46059</v>
      </c>
    </row>
    <row r="20" spans="1:9" x14ac:dyDescent="0.2">
      <c r="A20" s="3">
        <v>9</v>
      </c>
      <c r="B20" s="8" t="s">
        <v>5</v>
      </c>
      <c r="C20" s="8" t="s">
        <v>22</v>
      </c>
      <c r="D20" s="8">
        <v>0.14000000000000001</v>
      </c>
      <c r="E20" s="8">
        <v>27.4</v>
      </c>
      <c r="F20" s="8" t="s">
        <v>24</v>
      </c>
      <c r="G20" s="11">
        <v>46059</v>
      </c>
    </row>
    <row r="21" spans="1:9" x14ac:dyDescent="0.2">
      <c r="A21" s="3">
        <v>10</v>
      </c>
      <c r="B21" s="8" t="s">
        <v>5</v>
      </c>
      <c r="C21" s="8" t="s">
        <v>22</v>
      </c>
      <c r="D21" s="8">
        <v>0.14000000000000001</v>
      </c>
      <c r="E21" s="8">
        <v>29.8</v>
      </c>
      <c r="F21" s="8" t="s">
        <v>24</v>
      </c>
      <c r="G21" s="11">
        <v>46059</v>
      </c>
      <c r="H21">
        <f>AVERAGE(E12:E21)</f>
        <v>30.759999999999998</v>
      </c>
      <c r="I21">
        <f>STDEV(E12:E21)</f>
        <v>1.7846256999407155</v>
      </c>
    </row>
    <row r="22" spans="1:9" x14ac:dyDescent="0.2">
      <c r="A22" s="3">
        <v>1</v>
      </c>
      <c r="B22" s="8" t="s">
        <v>5</v>
      </c>
      <c r="C22" s="8" t="s">
        <v>25</v>
      </c>
      <c r="D22" s="8">
        <v>0.14000000000000001</v>
      </c>
      <c r="E22" s="8">
        <v>53.3</v>
      </c>
      <c r="F22" s="8" t="s">
        <v>23</v>
      </c>
      <c r="G22" s="11">
        <v>46062</v>
      </c>
    </row>
    <row r="23" spans="1:9" x14ac:dyDescent="0.2">
      <c r="A23" s="3">
        <v>2</v>
      </c>
      <c r="B23" s="8" t="s">
        <v>5</v>
      </c>
      <c r="C23" s="8" t="s">
        <v>25</v>
      </c>
      <c r="D23" s="8">
        <v>0.14000000000000001</v>
      </c>
      <c r="E23" s="8">
        <v>57.2</v>
      </c>
      <c r="F23" s="8" t="s">
        <v>23</v>
      </c>
      <c r="G23" s="11">
        <v>46062</v>
      </c>
    </row>
    <row r="24" spans="1:9" x14ac:dyDescent="0.2">
      <c r="A24" s="3">
        <v>3</v>
      </c>
      <c r="B24" s="8" t="s">
        <v>5</v>
      </c>
      <c r="C24" s="8" t="s">
        <v>25</v>
      </c>
      <c r="D24" s="8">
        <v>0.15</v>
      </c>
      <c r="E24" s="8">
        <v>52</v>
      </c>
      <c r="F24" s="8" t="s">
        <v>23</v>
      </c>
      <c r="G24" s="11">
        <v>46062</v>
      </c>
    </row>
    <row r="25" spans="1:9" x14ac:dyDescent="0.2">
      <c r="A25" s="3">
        <v>4</v>
      </c>
      <c r="B25" s="8" t="s">
        <v>5</v>
      </c>
      <c r="C25" s="8" t="s">
        <v>25</v>
      </c>
      <c r="D25" s="8">
        <v>0.15</v>
      </c>
      <c r="E25" s="8">
        <v>51.9</v>
      </c>
      <c r="F25" s="8" t="s">
        <v>23</v>
      </c>
      <c r="G25" s="11">
        <v>46062</v>
      </c>
    </row>
    <row r="26" spans="1:9" x14ac:dyDescent="0.2">
      <c r="A26" s="3">
        <v>5</v>
      </c>
      <c r="B26" s="8" t="s">
        <v>5</v>
      </c>
      <c r="C26" s="8" t="s">
        <v>25</v>
      </c>
      <c r="D26" s="8">
        <v>0.14000000000000001</v>
      </c>
      <c r="E26" s="8">
        <v>44</v>
      </c>
      <c r="F26" s="8" t="s">
        <v>23</v>
      </c>
      <c r="G26" s="11">
        <v>46062</v>
      </c>
    </row>
    <row r="27" spans="1:9" x14ac:dyDescent="0.2">
      <c r="A27" s="3">
        <v>6</v>
      </c>
      <c r="B27" s="8" t="s">
        <v>5</v>
      </c>
      <c r="C27" s="8" t="s">
        <v>25</v>
      </c>
      <c r="D27" s="8">
        <v>0.14000000000000001</v>
      </c>
      <c r="E27" s="8">
        <v>56.8</v>
      </c>
      <c r="F27" s="8" t="s">
        <v>23</v>
      </c>
      <c r="G27" s="11">
        <v>46062</v>
      </c>
    </row>
    <row r="28" spans="1:9" x14ac:dyDescent="0.2">
      <c r="A28" s="3">
        <v>7</v>
      </c>
      <c r="B28" s="8" t="s">
        <v>5</v>
      </c>
      <c r="C28" s="8" t="s">
        <v>25</v>
      </c>
      <c r="D28" s="8">
        <v>0.14000000000000001</v>
      </c>
      <c r="E28" s="8">
        <v>54.8</v>
      </c>
      <c r="F28" s="8" t="s">
        <v>23</v>
      </c>
      <c r="G28" s="11">
        <v>46062</v>
      </c>
    </row>
    <row r="29" spans="1:9" x14ac:dyDescent="0.2">
      <c r="A29" s="3">
        <v>8</v>
      </c>
      <c r="B29" s="8" t="s">
        <v>5</v>
      </c>
      <c r="C29" s="8" t="s">
        <v>25</v>
      </c>
      <c r="D29" s="8">
        <v>0.14000000000000001</v>
      </c>
      <c r="E29" s="8">
        <v>46.4</v>
      </c>
      <c r="F29" s="8" t="s">
        <v>23</v>
      </c>
      <c r="G29" s="11">
        <v>46062</v>
      </c>
    </row>
    <row r="30" spans="1:9" x14ac:dyDescent="0.2">
      <c r="A30" s="3">
        <v>9</v>
      </c>
      <c r="B30" s="8" t="s">
        <v>5</v>
      </c>
      <c r="C30" s="8" t="s">
        <v>25</v>
      </c>
      <c r="D30" s="8">
        <v>0.15</v>
      </c>
      <c r="E30" s="8">
        <v>52.2</v>
      </c>
      <c r="F30" s="8" t="s">
        <v>23</v>
      </c>
      <c r="G30" s="11">
        <v>46062</v>
      </c>
    </row>
    <row r="31" spans="1:9" x14ac:dyDescent="0.2">
      <c r="A31" s="3">
        <v>10</v>
      </c>
      <c r="B31" s="8" t="s">
        <v>5</v>
      </c>
      <c r="C31" s="8" t="s">
        <v>25</v>
      </c>
      <c r="D31" s="8">
        <v>0.14000000000000001</v>
      </c>
      <c r="E31" s="8">
        <v>49.7</v>
      </c>
      <c r="F31" s="8" t="s">
        <v>23</v>
      </c>
      <c r="G31" s="11">
        <v>46062</v>
      </c>
      <c r="H31">
        <f>AVERAGE(E22:E31)</f>
        <v>51.83</v>
      </c>
      <c r="I31">
        <f>STDEV(E22:E31)</f>
        <v>4.216646903774504</v>
      </c>
    </row>
    <row r="32" spans="1:9" x14ac:dyDescent="0.2">
      <c r="A32" s="3">
        <v>1</v>
      </c>
      <c r="B32" s="8" t="s">
        <v>5</v>
      </c>
      <c r="C32" s="8" t="s">
        <v>25</v>
      </c>
      <c r="E32" s="8">
        <v>20.100000000000001</v>
      </c>
      <c r="F32" s="8" t="s">
        <v>24</v>
      </c>
      <c r="G32" s="11">
        <v>46080</v>
      </c>
    </row>
    <row r="33" spans="1:9" x14ac:dyDescent="0.2">
      <c r="A33" s="3">
        <v>2</v>
      </c>
      <c r="B33" s="8" t="s">
        <v>5</v>
      </c>
      <c r="C33" s="8" t="s">
        <v>25</v>
      </c>
      <c r="E33" s="8">
        <v>23.2</v>
      </c>
      <c r="F33" s="8" t="s">
        <v>24</v>
      </c>
      <c r="G33" s="11">
        <v>46080</v>
      </c>
    </row>
    <row r="34" spans="1:9" x14ac:dyDescent="0.2">
      <c r="A34" s="3">
        <v>3</v>
      </c>
      <c r="B34" s="8" t="s">
        <v>5</v>
      </c>
      <c r="C34" s="8" t="s">
        <v>25</v>
      </c>
      <c r="E34" s="8">
        <v>25.5</v>
      </c>
      <c r="F34" s="8" t="s">
        <v>24</v>
      </c>
      <c r="G34" s="11">
        <v>46080</v>
      </c>
    </row>
    <row r="35" spans="1:9" x14ac:dyDescent="0.2">
      <c r="A35" s="3">
        <v>4</v>
      </c>
      <c r="B35" s="8" t="s">
        <v>5</v>
      </c>
      <c r="C35" s="8" t="s">
        <v>25</v>
      </c>
      <c r="E35" s="8">
        <v>24.6</v>
      </c>
      <c r="F35" s="8" t="s">
        <v>24</v>
      </c>
      <c r="G35" s="11">
        <v>46080</v>
      </c>
    </row>
    <row r="36" spans="1:9" x14ac:dyDescent="0.2">
      <c r="A36" s="3">
        <v>5</v>
      </c>
      <c r="B36" s="8" t="s">
        <v>5</v>
      </c>
      <c r="C36" s="8" t="s">
        <v>25</v>
      </c>
      <c r="E36" s="8">
        <v>21.2</v>
      </c>
      <c r="F36" s="8" t="s">
        <v>24</v>
      </c>
      <c r="G36" s="11">
        <v>46080</v>
      </c>
    </row>
    <row r="37" spans="1:9" x14ac:dyDescent="0.2">
      <c r="A37" s="3">
        <v>6</v>
      </c>
      <c r="B37" s="8" t="s">
        <v>5</v>
      </c>
      <c r="C37" s="8" t="s">
        <v>25</v>
      </c>
      <c r="E37" s="8">
        <v>24.1</v>
      </c>
      <c r="F37" s="8" t="s">
        <v>24</v>
      </c>
      <c r="G37" s="11">
        <v>46080</v>
      </c>
    </row>
    <row r="38" spans="1:9" x14ac:dyDescent="0.2">
      <c r="A38" s="3">
        <v>7</v>
      </c>
      <c r="B38" s="8" t="s">
        <v>5</v>
      </c>
      <c r="C38" s="8" t="s">
        <v>25</v>
      </c>
      <c r="E38" s="8">
        <v>21.6</v>
      </c>
      <c r="F38" s="8" t="s">
        <v>24</v>
      </c>
      <c r="G38" s="11">
        <v>46080</v>
      </c>
    </row>
    <row r="39" spans="1:9" x14ac:dyDescent="0.2">
      <c r="A39" s="3">
        <v>8</v>
      </c>
      <c r="B39" s="8" t="s">
        <v>5</v>
      </c>
      <c r="C39" s="8" t="s">
        <v>25</v>
      </c>
      <c r="E39" s="8">
        <v>20.5</v>
      </c>
      <c r="F39" s="8" t="s">
        <v>24</v>
      </c>
      <c r="G39" s="11">
        <v>46080</v>
      </c>
    </row>
    <row r="40" spans="1:9" x14ac:dyDescent="0.2">
      <c r="A40" s="3">
        <v>9</v>
      </c>
      <c r="B40" s="8" t="s">
        <v>5</v>
      </c>
      <c r="C40" s="8" t="s">
        <v>25</v>
      </c>
      <c r="E40" s="8">
        <v>24.6</v>
      </c>
      <c r="F40" s="8" t="s">
        <v>24</v>
      </c>
      <c r="G40" s="11">
        <v>46080</v>
      </c>
    </row>
    <row r="41" spans="1:9" x14ac:dyDescent="0.2">
      <c r="A41" s="3">
        <v>10</v>
      </c>
      <c r="B41" s="8" t="s">
        <v>5</v>
      </c>
      <c r="C41" s="8" t="s">
        <v>25</v>
      </c>
      <c r="E41" s="8">
        <v>22.2</v>
      </c>
      <c r="F41" s="8" t="s">
        <v>24</v>
      </c>
      <c r="G41" s="11">
        <v>46080</v>
      </c>
      <c r="H41">
        <f>AVERAGE(E32:E41)</f>
        <v>22.759999999999998</v>
      </c>
      <c r="I41">
        <f>STDEV(E32:E41)</f>
        <v>1.9015782918407542</v>
      </c>
    </row>
    <row r="42" spans="1:9" x14ac:dyDescent="0.2">
      <c r="A42" s="3">
        <v>1</v>
      </c>
      <c r="B42" s="8" t="s">
        <v>5</v>
      </c>
      <c r="C42" s="8" t="s">
        <v>17</v>
      </c>
      <c r="D42" s="8">
        <v>0.15</v>
      </c>
      <c r="E42" s="8">
        <v>58</v>
      </c>
      <c r="F42" s="8" t="s">
        <v>23</v>
      </c>
      <c r="G42" s="11">
        <v>46062</v>
      </c>
    </row>
    <row r="43" spans="1:9" x14ac:dyDescent="0.2">
      <c r="A43" s="3">
        <v>2</v>
      </c>
      <c r="B43" s="8" t="s">
        <v>5</v>
      </c>
      <c r="C43" s="8" t="s">
        <v>17</v>
      </c>
      <c r="D43" s="8">
        <v>0.15</v>
      </c>
      <c r="E43" s="8">
        <v>58.1</v>
      </c>
      <c r="F43" s="8" t="s">
        <v>23</v>
      </c>
      <c r="G43" s="11">
        <v>46062</v>
      </c>
    </row>
    <row r="44" spans="1:9" x14ac:dyDescent="0.2">
      <c r="A44" s="3">
        <v>3</v>
      </c>
      <c r="B44" s="8" t="s">
        <v>5</v>
      </c>
      <c r="C44" s="8" t="s">
        <v>17</v>
      </c>
      <c r="D44" s="8">
        <v>0.14000000000000001</v>
      </c>
      <c r="E44" s="8">
        <v>55.7</v>
      </c>
      <c r="F44" s="8" t="s">
        <v>23</v>
      </c>
      <c r="G44" s="11">
        <v>46062</v>
      </c>
    </row>
    <row r="45" spans="1:9" x14ac:dyDescent="0.2">
      <c r="A45" s="3">
        <v>4</v>
      </c>
      <c r="B45" s="8" t="s">
        <v>5</v>
      </c>
      <c r="C45" s="8" t="s">
        <v>17</v>
      </c>
      <c r="D45" s="8">
        <v>0.15</v>
      </c>
      <c r="E45" s="8">
        <v>54.7</v>
      </c>
      <c r="F45" s="8" t="s">
        <v>23</v>
      </c>
      <c r="G45" s="11">
        <v>46062</v>
      </c>
    </row>
    <row r="46" spans="1:9" x14ac:dyDescent="0.2">
      <c r="A46" s="3">
        <v>5</v>
      </c>
      <c r="B46" s="8" t="s">
        <v>5</v>
      </c>
      <c r="C46" s="8" t="s">
        <v>17</v>
      </c>
      <c r="D46" s="8">
        <v>0.15</v>
      </c>
      <c r="E46" s="8">
        <v>56.6</v>
      </c>
      <c r="F46" s="8" t="s">
        <v>23</v>
      </c>
      <c r="G46" s="11">
        <v>46062</v>
      </c>
    </row>
    <row r="47" spans="1:9" x14ac:dyDescent="0.2">
      <c r="A47" s="3">
        <v>6</v>
      </c>
      <c r="B47" s="8" t="s">
        <v>5</v>
      </c>
      <c r="C47" s="8" t="s">
        <v>17</v>
      </c>
      <c r="D47" s="8">
        <v>0.15</v>
      </c>
      <c r="E47" s="8">
        <v>60.1</v>
      </c>
      <c r="F47" s="8" t="s">
        <v>23</v>
      </c>
      <c r="G47" s="11">
        <v>46062</v>
      </c>
    </row>
    <row r="48" spans="1:9" x14ac:dyDescent="0.2">
      <c r="A48" s="3">
        <v>7</v>
      </c>
      <c r="B48" s="8" t="s">
        <v>5</v>
      </c>
      <c r="C48" s="8" t="s">
        <v>17</v>
      </c>
      <c r="D48" s="8">
        <v>0.15</v>
      </c>
      <c r="E48" s="8">
        <v>62.2</v>
      </c>
      <c r="F48" s="8" t="s">
        <v>23</v>
      </c>
      <c r="G48" s="11">
        <v>46062</v>
      </c>
    </row>
    <row r="49" spans="1:9" x14ac:dyDescent="0.2">
      <c r="A49" s="3">
        <v>8</v>
      </c>
      <c r="B49" s="8" t="s">
        <v>5</v>
      </c>
      <c r="C49" s="8" t="s">
        <v>17</v>
      </c>
      <c r="D49" s="8">
        <v>0.16</v>
      </c>
      <c r="E49" s="8">
        <v>57.3</v>
      </c>
      <c r="F49" s="8" t="s">
        <v>23</v>
      </c>
      <c r="G49" s="11">
        <v>46062</v>
      </c>
    </row>
    <row r="50" spans="1:9" x14ac:dyDescent="0.2">
      <c r="A50" s="3">
        <v>9</v>
      </c>
      <c r="B50" s="8" t="s">
        <v>5</v>
      </c>
      <c r="C50" s="8" t="s">
        <v>17</v>
      </c>
      <c r="D50" s="8">
        <v>0.14000000000000001</v>
      </c>
      <c r="E50" s="8">
        <v>56.7</v>
      </c>
      <c r="F50" s="8" t="s">
        <v>23</v>
      </c>
      <c r="G50" s="11">
        <v>46062</v>
      </c>
    </row>
    <row r="51" spans="1:9" x14ac:dyDescent="0.2">
      <c r="A51" s="3">
        <v>10</v>
      </c>
      <c r="B51" s="8" t="s">
        <v>5</v>
      </c>
      <c r="C51" s="8" t="s">
        <v>17</v>
      </c>
      <c r="D51" s="8">
        <v>0.15</v>
      </c>
      <c r="E51" s="8">
        <v>57</v>
      </c>
      <c r="F51" s="8" t="s">
        <v>23</v>
      </c>
      <c r="G51" s="11">
        <v>46062</v>
      </c>
      <c r="H51">
        <f>AVERAGE(E42:E51)</f>
        <v>57.640000000000008</v>
      </c>
      <c r="I51">
        <f>STDEV(E42:E51)</f>
        <v>2.1624060673240817</v>
      </c>
    </row>
    <row r="52" spans="1:9" x14ac:dyDescent="0.2">
      <c r="A52" s="3">
        <v>1</v>
      </c>
      <c r="B52" s="8" t="s">
        <v>5</v>
      </c>
      <c r="C52" s="8" t="s">
        <v>17</v>
      </c>
      <c r="D52" s="8">
        <v>0.15</v>
      </c>
      <c r="E52" s="8">
        <v>28</v>
      </c>
      <c r="F52" s="8" t="s">
        <v>24</v>
      </c>
      <c r="G52" s="11">
        <v>46062</v>
      </c>
    </row>
    <row r="53" spans="1:9" x14ac:dyDescent="0.2">
      <c r="A53" s="3">
        <v>2</v>
      </c>
      <c r="B53" s="8" t="s">
        <v>5</v>
      </c>
      <c r="C53" s="8" t="s">
        <v>17</v>
      </c>
      <c r="D53" s="8">
        <v>0.16</v>
      </c>
      <c r="E53" s="8">
        <v>29.3</v>
      </c>
      <c r="F53" s="8" t="s">
        <v>24</v>
      </c>
      <c r="G53" s="11">
        <v>46062</v>
      </c>
    </row>
    <row r="54" spans="1:9" x14ac:dyDescent="0.2">
      <c r="A54" s="3">
        <v>3</v>
      </c>
      <c r="B54" s="8" t="s">
        <v>5</v>
      </c>
      <c r="C54" s="8" t="s">
        <v>17</v>
      </c>
      <c r="D54" s="8">
        <v>0.15</v>
      </c>
      <c r="E54" s="8">
        <v>28.2</v>
      </c>
      <c r="F54" s="8" t="s">
        <v>24</v>
      </c>
      <c r="G54" s="11">
        <v>46062</v>
      </c>
    </row>
    <row r="55" spans="1:9" x14ac:dyDescent="0.2">
      <c r="A55" s="3">
        <v>4</v>
      </c>
      <c r="B55" s="8" t="s">
        <v>5</v>
      </c>
      <c r="C55" s="8" t="s">
        <v>17</v>
      </c>
      <c r="D55" s="8">
        <v>0.15</v>
      </c>
      <c r="E55" s="8">
        <v>27.8</v>
      </c>
      <c r="F55" s="8" t="s">
        <v>24</v>
      </c>
      <c r="G55" s="11">
        <v>46062</v>
      </c>
    </row>
    <row r="56" spans="1:9" x14ac:dyDescent="0.2">
      <c r="A56" s="3">
        <v>5</v>
      </c>
      <c r="B56" s="8" t="s">
        <v>5</v>
      </c>
      <c r="C56" s="8" t="s">
        <v>17</v>
      </c>
      <c r="D56" s="8">
        <v>0.15</v>
      </c>
      <c r="E56" s="8">
        <v>28.3</v>
      </c>
      <c r="F56" s="8" t="s">
        <v>24</v>
      </c>
      <c r="G56" s="11">
        <v>46062</v>
      </c>
    </row>
    <row r="57" spans="1:9" x14ac:dyDescent="0.2">
      <c r="A57" s="3">
        <v>6</v>
      </c>
      <c r="B57" s="8" t="s">
        <v>5</v>
      </c>
      <c r="C57" s="8" t="s">
        <v>17</v>
      </c>
      <c r="D57" s="8">
        <v>0.15</v>
      </c>
      <c r="E57" s="8">
        <v>29</v>
      </c>
      <c r="F57" s="8" t="s">
        <v>24</v>
      </c>
      <c r="G57" s="11">
        <v>46062</v>
      </c>
    </row>
    <row r="58" spans="1:9" x14ac:dyDescent="0.2">
      <c r="A58" s="3">
        <v>7</v>
      </c>
      <c r="B58" s="8" t="s">
        <v>5</v>
      </c>
      <c r="C58" s="8" t="s">
        <v>17</v>
      </c>
      <c r="D58" s="8">
        <v>0.15</v>
      </c>
      <c r="E58" s="8">
        <v>28.2</v>
      </c>
      <c r="F58" s="8" t="s">
        <v>24</v>
      </c>
      <c r="G58" s="11">
        <v>46062</v>
      </c>
    </row>
    <row r="59" spans="1:9" x14ac:dyDescent="0.2">
      <c r="A59" s="3">
        <v>8</v>
      </c>
      <c r="B59" s="8" t="s">
        <v>5</v>
      </c>
      <c r="C59" s="8" t="s">
        <v>17</v>
      </c>
      <c r="D59" s="8">
        <v>0.15</v>
      </c>
      <c r="E59" s="8">
        <v>27.8</v>
      </c>
      <c r="F59" s="8" t="s">
        <v>24</v>
      </c>
      <c r="G59" s="11">
        <v>46062</v>
      </c>
    </row>
    <row r="60" spans="1:9" x14ac:dyDescent="0.2">
      <c r="A60" s="3">
        <v>9</v>
      </c>
      <c r="B60" s="8" t="s">
        <v>5</v>
      </c>
      <c r="C60" s="8" t="s">
        <v>17</v>
      </c>
      <c r="D60" s="8">
        <v>0.15</v>
      </c>
      <c r="E60" s="8">
        <v>28.3</v>
      </c>
      <c r="F60" s="8" t="s">
        <v>24</v>
      </c>
      <c r="G60" s="11">
        <v>46062</v>
      </c>
      <c r="H60">
        <f>AVERAGE(E52:E60)</f>
        <v>28.322222222222223</v>
      </c>
      <c r="I60">
        <f>STDEV(E52:E60)</f>
        <v>0.51180508442613626</v>
      </c>
    </row>
    <row r="61" spans="1:9" x14ac:dyDescent="0.2">
      <c r="A61" s="3">
        <v>1</v>
      </c>
      <c r="B61" s="8" t="s">
        <v>5</v>
      </c>
      <c r="C61" s="8" t="s">
        <v>18</v>
      </c>
      <c r="D61" s="8"/>
      <c r="E61" s="8">
        <v>56.9</v>
      </c>
      <c r="F61" s="8" t="s">
        <v>23</v>
      </c>
      <c r="G61" s="11">
        <v>46064</v>
      </c>
    </row>
    <row r="62" spans="1:9" x14ac:dyDescent="0.2">
      <c r="A62" s="3">
        <v>2</v>
      </c>
      <c r="B62" s="8" t="s">
        <v>5</v>
      </c>
      <c r="C62" s="8" t="s">
        <v>18</v>
      </c>
      <c r="D62" s="8"/>
      <c r="E62" s="8">
        <v>55.8</v>
      </c>
      <c r="F62" s="8" t="s">
        <v>23</v>
      </c>
      <c r="G62" s="11">
        <v>46064</v>
      </c>
    </row>
    <row r="63" spans="1:9" x14ac:dyDescent="0.2">
      <c r="A63" s="3">
        <v>3</v>
      </c>
      <c r="B63" s="8" t="s">
        <v>5</v>
      </c>
      <c r="C63" s="8" t="s">
        <v>18</v>
      </c>
      <c r="E63" s="8">
        <v>64.3</v>
      </c>
      <c r="F63" s="8" t="s">
        <v>23</v>
      </c>
      <c r="G63" s="11">
        <v>46064</v>
      </c>
    </row>
    <row r="64" spans="1:9" x14ac:dyDescent="0.2">
      <c r="A64" s="3">
        <v>4</v>
      </c>
      <c r="B64" s="8" t="s">
        <v>5</v>
      </c>
      <c r="C64" s="8" t="s">
        <v>18</v>
      </c>
      <c r="E64" s="8">
        <v>58.2</v>
      </c>
      <c r="F64" s="8" t="s">
        <v>23</v>
      </c>
      <c r="G64" s="11">
        <v>46064</v>
      </c>
    </row>
    <row r="65" spans="1:9" x14ac:dyDescent="0.2">
      <c r="A65" s="3">
        <v>5</v>
      </c>
      <c r="B65" s="8" t="s">
        <v>5</v>
      </c>
      <c r="C65" s="8" t="s">
        <v>18</v>
      </c>
      <c r="E65" s="8">
        <v>62.1</v>
      </c>
      <c r="F65" s="8" t="s">
        <v>23</v>
      </c>
      <c r="G65" s="11">
        <v>46064</v>
      </c>
    </row>
    <row r="66" spans="1:9" x14ac:dyDescent="0.2">
      <c r="A66" s="3">
        <v>6</v>
      </c>
      <c r="B66" s="8" t="s">
        <v>5</v>
      </c>
      <c r="C66" s="8" t="s">
        <v>18</v>
      </c>
      <c r="E66" s="8">
        <v>58.6</v>
      </c>
      <c r="F66" s="8" t="s">
        <v>23</v>
      </c>
      <c r="G66" s="11">
        <v>46064</v>
      </c>
    </row>
    <row r="67" spans="1:9" x14ac:dyDescent="0.2">
      <c r="A67" s="3">
        <v>7</v>
      </c>
      <c r="B67" s="8" t="s">
        <v>5</v>
      </c>
      <c r="C67" s="8" t="s">
        <v>18</v>
      </c>
      <c r="E67" s="8">
        <v>57.9</v>
      </c>
      <c r="F67" s="8" t="s">
        <v>23</v>
      </c>
      <c r="G67" s="11">
        <v>46064</v>
      </c>
    </row>
    <row r="68" spans="1:9" x14ac:dyDescent="0.2">
      <c r="A68" s="3">
        <v>8</v>
      </c>
      <c r="B68" s="8" t="s">
        <v>5</v>
      </c>
      <c r="C68" s="8" t="s">
        <v>18</v>
      </c>
      <c r="E68" s="8">
        <v>60.3</v>
      </c>
      <c r="F68" s="8" t="s">
        <v>23</v>
      </c>
      <c r="G68" s="11">
        <v>46064</v>
      </c>
    </row>
    <row r="69" spans="1:9" x14ac:dyDescent="0.2">
      <c r="A69" s="3">
        <v>9</v>
      </c>
      <c r="B69" s="8" t="s">
        <v>5</v>
      </c>
      <c r="C69" s="8" t="s">
        <v>18</v>
      </c>
      <c r="E69" s="8">
        <v>58.6</v>
      </c>
      <c r="F69" s="8" t="s">
        <v>23</v>
      </c>
      <c r="G69" s="11">
        <v>46064</v>
      </c>
    </row>
    <row r="70" spans="1:9" x14ac:dyDescent="0.2">
      <c r="A70" s="3">
        <v>10</v>
      </c>
      <c r="B70" s="8" t="s">
        <v>5</v>
      </c>
      <c r="C70" s="8" t="s">
        <v>18</v>
      </c>
      <c r="E70" s="8">
        <v>58.3</v>
      </c>
      <c r="F70" s="8" t="s">
        <v>23</v>
      </c>
      <c r="G70" s="11">
        <v>46064</v>
      </c>
      <c r="H70">
        <f>AVERAGE(E61:E70)</f>
        <v>59.1</v>
      </c>
      <c r="I70">
        <f>STDEV(E61:E70)</f>
        <v>2.5077657165072034</v>
      </c>
    </row>
    <row r="71" spans="1:9" x14ac:dyDescent="0.2">
      <c r="A71" s="3">
        <v>1</v>
      </c>
      <c r="B71" s="8" t="s">
        <v>5</v>
      </c>
      <c r="C71" s="8" t="s">
        <v>18</v>
      </c>
      <c r="E71" s="8">
        <v>28</v>
      </c>
      <c r="F71" s="8" t="s">
        <v>24</v>
      </c>
      <c r="G71" s="11">
        <v>46064</v>
      </c>
    </row>
    <row r="72" spans="1:9" x14ac:dyDescent="0.2">
      <c r="A72" s="3">
        <v>2</v>
      </c>
      <c r="B72" s="8" t="s">
        <v>5</v>
      </c>
      <c r="C72" s="8" t="s">
        <v>18</v>
      </c>
      <c r="E72" s="8">
        <v>30.9</v>
      </c>
      <c r="F72" s="8" t="s">
        <v>24</v>
      </c>
      <c r="G72" s="11">
        <v>46064</v>
      </c>
    </row>
    <row r="73" spans="1:9" x14ac:dyDescent="0.2">
      <c r="A73" s="3">
        <v>3</v>
      </c>
      <c r="B73" s="8" t="s">
        <v>5</v>
      </c>
      <c r="C73" s="8" t="s">
        <v>18</v>
      </c>
      <c r="E73" s="8">
        <v>27.2</v>
      </c>
      <c r="F73" s="8" t="s">
        <v>24</v>
      </c>
      <c r="G73" s="11">
        <v>46064</v>
      </c>
    </row>
    <row r="74" spans="1:9" x14ac:dyDescent="0.2">
      <c r="A74" s="3">
        <v>4</v>
      </c>
      <c r="B74" s="8" t="s">
        <v>5</v>
      </c>
      <c r="C74" s="8" t="s">
        <v>18</v>
      </c>
      <c r="E74" s="8">
        <v>28.4</v>
      </c>
      <c r="F74" s="8" t="s">
        <v>24</v>
      </c>
      <c r="G74" s="11">
        <v>46064</v>
      </c>
    </row>
    <row r="75" spans="1:9" x14ac:dyDescent="0.2">
      <c r="A75" s="3">
        <v>5</v>
      </c>
      <c r="B75" s="8" t="s">
        <v>5</v>
      </c>
      <c r="C75" s="8" t="s">
        <v>18</v>
      </c>
      <c r="E75" s="8">
        <v>29</v>
      </c>
      <c r="F75" s="8" t="s">
        <v>24</v>
      </c>
      <c r="G75" s="11">
        <v>46064</v>
      </c>
    </row>
    <row r="76" spans="1:9" x14ac:dyDescent="0.2">
      <c r="A76" s="3">
        <v>6</v>
      </c>
      <c r="B76" s="8" t="s">
        <v>5</v>
      </c>
      <c r="C76" s="8" t="s">
        <v>18</v>
      </c>
      <c r="E76" s="8">
        <v>27.5</v>
      </c>
      <c r="F76" s="8" t="s">
        <v>24</v>
      </c>
      <c r="G76" s="11">
        <v>46064</v>
      </c>
    </row>
    <row r="77" spans="1:9" x14ac:dyDescent="0.2">
      <c r="A77" s="3">
        <v>7</v>
      </c>
      <c r="B77" s="8" t="s">
        <v>5</v>
      </c>
      <c r="C77" s="8" t="s">
        <v>18</v>
      </c>
      <c r="E77" s="8">
        <v>29.9</v>
      </c>
      <c r="F77" s="8" t="s">
        <v>24</v>
      </c>
      <c r="G77" s="11">
        <v>46064</v>
      </c>
    </row>
    <row r="78" spans="1:9" x14ac:dyDescent="0.2">
      <c r="A78" s="3">
        <v>8</v>
      </c>
      <c r="B78" s="8" t="s">
        <v>5</v>
      </c>
      <c r="C78" s="8" t="s">
        <v>18</v>
      </c>
      <c r="E78" s="8">
        <v>27.4</v>
      </c>
      <c r="F78" s="8" t="s">
        <v>24</v>
      </c>
      <c r="G78" s="11">
        <v>46064</v>
      </c>
    </row>
    <row r="79" spans="1:9" x14ac:dyDescent="0.2">
      <c r="A79" s="3">
        <v>9</v>
      </c>
      <c r="B79" s="8" t="s">
        <v>5</v>
      </c>
      <c r="C79" s="8" t="s">
        <v>18</v>
      </c>
      <c r="E79" s="8">
        <v>28.1</v>
      </c>
      <c r="F79" s="8" t="s">
        <v>24</v>
      </c>
      <c r="G79" s="11">
        <v>46064</v>
      </c>
    </row>
    <row r="80" spans="1:9" x14ac:dyDescent="0.2">
      <c r="A80" s="3">
        <v>10</v>
      </c>
      <c r="B80" s="8" t="s">
        <v>5</v>
      </c>
      <c r="C80" s="8" t="s">
        <v>18</v>
      </c>
      <c r="E80" s="8">
        <v>27.9</v>
      </c>
      <c r="F80" s="8" t="s">
        <v>24</v>
      </c>
      <c r="G80" s="11">
        <v>46064</v>
      </c>
      <c r="H80">
        <f>AVERAGE(E71:E80)</f>
        <v>28.43</v>
      </c>
      <c r="I80">
        <f>STDEV(E71:E80)</f>
        <v>1.1832629087025039</v>
      </c>
    </row>
    <row r="81" spans="1:9" x14ac:dyDescent="0.2">
      <c r="A81" s="3">
        <v>1</v>
      </c>
      <c r="B81" s="8" t="s">
        <v>5</v>
      </c>
      <c r="C81" s="8" t="s">
        <v>26</v>
      </c>
      <c r="E81" s="8">
        <v>52.8</v>
      </c>
      <c r="F81" s="8" t="s">
        <v>23</v>
      </c>
      <c r="G81" s="11">
        <v>46070</v>
      </c>
    </row>
    <row r="82" spans="1:9" x14ac:dyDescent="0.2">
      <c r="A82" s="3">
        <v>2</v>
      </c>
      <c r="B82" s="8" t="s">
        <v>5</v>
      </c>
      <c r="C82" s="8" t="s">
        <v>26</v>
      </c>
      <c r="E82" s="8">
        <v>54.7</v>
      </c>
      <c r="F82" s="8" t="s">
        <v>23</v>
      </c>
      <c r="G82" s="11">
        <v>46070</v>
      </c>
    </row>
    <row r="83" spans="1:9" x14ac:dyDescent="0.2">
      <c r="A83" s="3">
        <v>3</v>
      </c>
      <c r="B83" s="8" t="s">
        <v>5</v>
      </c>
      <c r="C83" s="8" t="s">
        <v>26</v>
      </c>
      <c r="E83" s="8">
        <v>53</v>
      </c>
      <c r="F83" s="8" t="s">
        <v>23</v>
      </c>
      <c r="G83" s="11">
        <v>46070</v>
      </c>
    </row>
    <row r="84" spans="1:9" x14ac:dyDescent="0.2">
      <c r="A84" s="3">
        <v>4</v>
      </c>
      <c r="B84" s="8" t="s">
        <v>5</v>
      </c>
      <c r="C84" s="8" t="s">
        <v>26</v>
      </c>
      <c r="E84" s="8">
        <v>52.8</v>
      </c>
      <c r="F84" s="8" t="s">
        <v>23</v>
      </c>
      <c r="G84" s="11">
        <v>46070</v>
      </c>
    </row>
    <row r="85" spans="1:9" x14ac:dyDescent="0.2">
      <c r="A85" s="3">
        <v>5</v>
      </c>
      <c r="B85" s="8" t="s">
        <v>5</v>
      </c>
      <c r="C85" s="8" t="s">
        <v>26</v>
      </c>
      <c r="E85" s="8">
        <v>51.1</v>
      </c>
      <c r="F85" s="8" t="s">
        <v>23</v>
      </c>
      <c r="G85" s="11">
        <v>46070</v>
      </c>
    </row>
    <row r="86" spans="1:9" x14ac:dyDescent="0.2">
      <c r="A86" s="3">
        <v>6</v>
      </c>
      <c r="B86" s="8" t="s">
        <v>5</v>
      </c>
      <c r="C86" s="8" t="s">
        <v>26</v>
      </c>
      <c r="E86" s="8">
        <v>53.5</v>
      </c>
      <c r="F86" s="8" t="s">
        <v>23</v>
      </c>
      <c r="G86" s="11">
        <v>46070</v>
      </c>
    </row>
    <row r="87" spans="1:9" x14ac:dyDescent="0.2">
      <c r="A87" s="3">
        <v>7</v>
      </c>
      <c r="B87" s="8" t="s">
        <v>5</v>
      </c>
      <c r="C87" s="8" t="s">
        <v>26</v>
      </c>
      <c r="E87" s="8">
        <v>52.4</v>
      </c>
      <c r="F87" s="8" t="s">
        <v>23</v>
      </c>
      <c r="G87" s="11">
        <v>46070</v>
      </c>
    </row>
    <row r="88" spans="1:9" x14ac:dyDescent="0.2">
      <c r="A88" s="3">
        <v>8</v>
      </c>
      <c r="B88" s="8" t="s">
        <v>5</v>
      </c>
      <c r="C88" s="8" t="s">
        <v>26</v>
      </c>
      <c r="E88" s="8">
        <v>50.8</v>
      </c>
      <c r="F88" s="8" t="s">
        <v>23</v>
      </c>
      <c r="G88" s="11">
        <v>46070</v>
      </c>
    </row>
    <row r="89" spans="1:9" x14ac:dyDescent="0.2">
      <c r="A89" s="3">
        <v>9</v>
      </c>
      <c r="B89" s="8" t="s">
        <v>5</v>
      </c>
      <c r="C89" s="8" t="s">
        <v>26</v>
      </c>
      <c r="E89" s="8">
        <v>53.1</v>
      </c>
      <c r="F89" s="8" t="s">
        <v>23</v>
      </c>
      <c r="G89" s="11">
        <v>46070</v>
      </c>
    </row>
    <row r="90" spans="1:9" x14ac:dyDescent="0.2">
      <c r="A90" s="3">
        <v>10</v>
      </c>
      <c r="B90" s="8" t="s">
        <v>5</v>
      </c>
      <c r="C90" s="8" t="s">
        <v>26</v>
      </c>
      <c r="E90" s="8">
        <v>52.4</v>
      </c>
      <c r="F90" s="8" t="s">
        <v>23</v>
      </c>
      <c r="G90" s="11">
        <v>46070</v>
      </c>
      <c r="H90">
        <f>AVERAGE(E81:E90)</f>
        <v>52.660000000000004</v>
      </c>
      <c r="I90">
        <f>STDEV(E81:E90)</f>
        <v>1.1177358065899721</v>
      </c>
    </row>
    <row r="91" spans="1:9" x14ac:dyDescent="0.2">
      <c r="A91" s="3">
        <v>1</v>
      </c>
      <c r="B91" s="8" t="s">
        <v>5</v>
      </c>
      <c r="C91" s="8" t="s">
        <v>26</v>
      </c>
      <c r="E91" s="8">
        <v>27</v>
      </c>
      <c r="F91" s="8" t="s">
        <v>24</v>
      </c>
      <c r="G91" s="11">
        <v>46070</v>
      </c>
    </row>
    <row r="92" spans="1:9" x14ac:dyDescent="0.2">
      <c r="A92" s="3">
        <v>2</v>
      </c>
      <c r="B92" s="8" t="s">
        <v>5</v>
      </c>
      <c r="C92" s="8" t="s">
        <v>26</v>
      </c>
      <c r="E92" s="8">
        <v>30.6</v>
      </c>
      <c r="F92" s="8" t="s">
        <v>24</v>
      </c>
      <c r="G92" s="11">
        <v>46070</v>
      </c>
    </row>
    <row r="93" spans="1:9" x14ac:dyDescent="0.2">
      <c r="A93" s="3">
        <v>3</v>
      </c>
      <c r="B93" s="8" t="s">
        <v>5</v>
      </c>
      <c r="C93" s="8" t="s">
        <v>26</v>
      </c>
      <c r="E93" s="8">
        <v>27.1</v>
      </c>
      <c r="F93" s="8" t="s">
        <v>24</v>
      </c>
      <c r="G93" s="11">
        <v>46070</v>
      </c>
    </row>
    <row r="94" spans="1:9" x14ac:dyDescent="0.2">
      <c r="A94" s="3">
        <v>4</v>
      </c>
      <c r="B94" s="8" t="s">
        <v>5</v>
      </c>
      <c r="C94" s="8" t="s">
        <v>26</v>
      </c>
      <c r="E94" s="8">
        <v>27.6</v>
      </c>
      <c r="F94" s="8" t="s">
        <v>24</v>
      </c>
      <c r="G94" s="11">
        <v>46070</v>
      </c>
    </row>
    <row r="95" spans="1:9" x14ac:dyDescent="0.2">
      <c r="A95" s="3">
        <v>5</v>
      </c>
      <c r="B95" s="8" t="s">
        <v>5</v>
      </c>
      <c r="C95" s="8" t="s">
        <v>26</v>
      </c>
      <c r="E95" s="8">
        <v>27.9</v>
      </c>
      <c r="F95" s="8" t="s">
        <v>24</v>
      </c>
      <c r="G95" s="11">
        <v>46070</v>
      </c>
    </row>
    <row r="96" spans="1:9" x14ac:dyDescent="0.2">
      <c r="A96" s="3">
        <v>6</v>
      </c>
      <c r="B96" s="8" t="s">
        <v>5</v>
      </c>
      <c r="C96" s="8" t="s">
        <v>26</v>
      </c>
      <c r="E96" s="8">
        <v>29.8</v>
      </c>
      <c r="F96" s="8" t="s">
        <v>24</v>
      </c>
      <c r="G96" s="11">
        <v>46070</v>
      </c>
    </row>
    <row r="97" spans="1:9" x14ac:dyDescent="0.2">
      <c r="A97" s="3">
        <v>7</v>
      </c>
      <c r="B97" s="8" t="s">
        <v>5</v>
      </c>
      <c r="C97" s="8" t="s">
        <v>26</v>
      </c>
      <c r="E97" s="8">
        <v>31.3</v>
      </c>
      <c r="F97" s="8" t="s">
        <v>24</v>
      </c>
      <c r="G97" s="11">
        <v>46070</v>
      </c>
    </row>
    <row r="98" spans="1:9" x14ac:dyDescent="0.2">
      <c r="A98" s="3">
        <v>8</v>
      </c>
      <c r="B98" s="8" t="s">
        <v>5</v>
      </c>
      <c r="C98" s="8" t="s">
        <v>26</v>
      </c>
      <c r="E98" s="8">
        <v>28.9</v>
      </c>
      <c r="F98" s="8" t="s">
        <v>24</v>
      </c>
      <c r="G98" s="11">
        <v>46070</v>
      </c>
    </row>
    <row r="99" spans="1:9" x14ac:dyDescent="0.2">
      <c r="A99" s="3">
        <v>9</v>
      </c>
      <c r="B99" s="8" t="s">
        <v>5</v>
      </c>
      <c r="C99" s="8" t="s">
        <v>26</v>
      </c>
      <c r="E99" s="8">
        <v>26.9</v>
      </c>
      <c r="F99" s="8" t="s">
        <v>24</v>
      </c>
      <c r="G99" s="11">
        <v>46070</v>
      </c>
    </row>
    <row r="100" spans="1:9" x14ac:dyDescent="0.2">
      <c r="A100" s="3">
        <v>10</v>
      </c>
      <c r="B100" s="8" t="s">
        <v>5</v>
      </c>
      <c r="C100" s="8" t="s">
        <v>26</v>
      </c>
      <c r="E100" s="8">
        <v>29.5</v>
      </c>
      <c r="F100" s="8" t="s">
        <v>24</v>
      </c>
      <c r="G100" s="11">
        <v>46070</v>
      </c>
      <c r="H100">
        <f>AVERAGE(E91:E100)</f>
        <v>28.660000000000004</v>
      </c>
      <c r="I100">
        <f>STDEV(E91:E100)</f>
        <v>1.5910862816188054</v>
      </c>
    </row>
    <row r="101" spans="1:9" x14ac:dyDescent="0.2">
      <c r="A101" s="3">
        <v>1</v>
      </c>
      <c r="B101" s="8" t="s">
        <v>5</v>
      </c>
      <c r="C101" s="8" t="s">
        <v>27</v>
      </c>
      <c r="E101" s="8">
        <v>54.2</v>
      </c>
      <c r="F101" s="8" t="s">
        <v>23</v>
      </c>
      <c r="G101" s="11">
        <v>46070</v>
      </c>
    </row>
    <row r="102" spans="1:9" x14ac:dyDescent="0.2">
      <c r="A102" s="3">
        <v>2</v>
      </c>
      <c r="B102" s="8" t="s">
        <v>5</v>
      </c>
      <c r="C102" s="8" t="s">
        <v>27</v>
      </c>
      <c r="E102" s="8">
        <v>54.3</v>
      </c>
      <c r="F102" s="8" t="s">
        <v>23</v>
      </c>
      <c r="G102" s="11">
        <v>46070</v>
      </c>
    </row>
    <row r="103" spans="1:9" x14ac:dyDescent="0.2">
      <c r="A103" s="3">
        <v>3</v>
      </c>
      <c r="B103" s="8" t="s">
        <v>5</v>
      </c>
      <c r="C103" s="8" t="s">
        <v>27</v>
      </c>
      <c r="E103" s="8">
        <v>53.2</v>
      </c>
      <c r="F103" s="8" t="s">
        <v>23</v>
      </c>
      <c r="G103" s="11">
        <v>46070</v>
      </c>
    </row>
    <row r="104" spans="1:9" x14ac:dyDescent="0.2">
      <c r="A104" s="3">
        <v>4</v>
      </c>
      <c r="B104" s="8" t="s">
        <v>5</v>
      </c>
      <c r="C104" s="8" t="s">
        <v>27</v>
      </c>
      <c r="E104" s="8">
        <v>53.4</v>
      </c>
      <c r="F104" s="8" t="s">
        <v>23</v>
      </c>
      <c r="G104" s="11">
        <v>46070</v>
      </c>
    </row>
    <row r="105" spans="1:9" x14ac:dyDescent="0.2">
      <c r="A105" s="3">
        <v>5</v>
      </c>
      <c r="B105" s="8" t="s">
        <v>5</v>
      </c>
      <c r="C105" s="8" t="s">
        <v>27</v>
      </c>
      <c r="E105" s="8">
        <v>57.4</v>
      </c>
      <c r="F105" s="8" t="s">
        <v>23</v>
      </c>
      <c r="G105" s="11">
        <v>46070</v>
      </c>
    </row>
    <row r="106" spans="1:9" x14ac:dyDescent="0.2">
      <c r="A106" s="3">
        <v>6</v>
      </c>
      <c r="B106" s="8" t="s">
        <v>5</v>
      </c>
      <c r="C106" s="8" t="s">
        <v>27</v>
      </c>
      <c r="E106" s="8">
        <v>54.8</v>
      </c>
      <c r="F106" s="8" t="s">
        <v>23</v>
      </c>
      <c r="G106" s="11">
        <v>46070</v>
      </c>
    </row>
    <row r="107" spans="1:9" x14ac:dyDescent="0.2">
      <c r="A107" s="3">
        <v>7</v>
      </c>
      <c r="B107" s="8" t="s">
        <v>5</v>
      </c>
      <c r="C107" s="8" t="s">
        <v>27</v>
      </c>
      <c r="E107" s="8">
        <v>56.2</v>
      </c>
      <c r="F107" s="8" t="s">
        <v>23</v>
      </c>
      <c r="G107" s="11">
        <v>46070</v>
      </c>
    </row>
    <row r="108" spans="1:9" x14ac:dyDescent="0.2">
      <c r="A108" s="3">
        <v>8</v>
      </c>
      <c r="B108" s="8" t="s">
        <v>5</v>
      </c>
      <c r="C108" s="8" t="s">
        <v>27</v>
      </c>
      <c r="E108" s="8">
        <v>55.4</v>
      </c>
      <c r="F108" s="8" t="s">
        <v>23</v>
      </c>
      <c r="G108" s="11">
        <v>46070</v>
      </c>
    </row>
    <row r="109" spans="1:9" x14ac:dyDescent="0.2">
      <c r="A109" s="3">
        <v>9</v>
      </c>
      <c r="B109" s="8" t="s">
        <v>5</v>
      </c>
      <c r="C109" s="8" t="s">
        <v>27</v>
      </c>
      <c r="E109" s="8">
        <v>57</v>
      </c>
      <c r="F109" s="8" t="s">
        <v>23</v>
      </c>
      <c r="G109" s="11">
        <v>46070</v>
      </c>
    </row>
    <row r="110" spans="1:9" x14ac:dyDescent="0.2">
      <c r="A110" s="3">
        <v>10</v>
      </c>
      <c r="B110" s="8" t="s">
        <v>5</v>
      </c>
      <c r="C110" s="8" t="s">
        <v>27</v>
      </c>
      <c r="E110" s="8">
        <v>56.9</v>
      </c>
      <c r="F110" s="8" t="s">
        <v>23</v>
      </c>
      <c r="G110" s="11">
        <v>46070</v>
      </c>
      <c r="H110">
        <f>AVERAGE(E101:E110)</f>
        <v>55.279999999999994</v>
      </c>
      <c r="I110">
        <f>STDEV(E101:E110)</f>
        <v>1.5331883989473265</v>
      </c>
    </row>
    <row r="111" spans="1:9" x14ac:dyDescent="0.2">
      <c r="A111" s="3">
        <v>1</v>
      </c>
      <c r="B111" s="8" t="s">
        <v>5</v>
      </c>
      <c r="C111" s="8" t="s">
        <v>27</v>
      </c>
      <c r="E111" s="8">
        <v>29.2</v>
      </c>
      <c r="F111" s="8" t="s">
        <v>24</v>
      </c>
      <c r="G111" s="11">
        <v>46070</v>
      </c>
    </row>
    <row r="112" spans="1:9" x14ac:dyDescent="0.2">
      <c r="A112" s="3">
        <v>2</v>
      </c>
      <c r="B112" s="8" t="s">
        <v>5</v>
      </c>
      <c r="C112" s="8" t="s">
        <v>27</v>
      </c>
      <c r="E112" s="8">
        <v>31.2</v>
      </c>
      <c r="F112" s="8" t="s">
        <v>24</v>
      </c>
      <c r="G112" s="11">
        <v>46070</v>
      </c>
    </row>
    <row r="113" spans="1:9" x14ac:dyDescent="0.2">
      <c r="A113" s="3">
        <v>3</v>
      </c>
      <c r="B113" s="8" t="s">
        <v>5</v>
      </c>
      <c r="C113" s="8" t="s">
        <v>27</v>
      </c>
      <c r="E113" s="8">
        <v>28.6</v>
      </c>
      <c r="F113" s="8" t="s">
        <v>24</v>
      </c>
      <c r="G113" s="11">
        <v>46070</v>
      </c>
    </row>
    <row r="114" spans="1:9" x14ac:dyDescent="0.2">
      <c r="A114" s="3">
        <v>4</v>
      </c>
      <c r="B114" s="8" t="s">
        <v>5</v>
      </c>
      <c r="C114" s="8" t="s">
        <v>27</v>
      </c>
      <c r="E114" s="8">
        <v>29</v>
      </c>
      <c r="F114" s="8" t="s">
        <v>24</v>
      </c>
      <c r="G114" s="11">
        <v>46070</v>
      </c>
    </row>
    <row r="115" spans="1:9" x14ac:dyDescent="0.2">
      <c r="A115" s="3">
        <v>5</v>
      </c>
      <c r="B115" s="8" t="s">
        <v>5</v>
      </c>
      <c r="C115" s="8" t="s">
        <v>27</v>
      </c>
      <c r="E115" s="8">
        <v>29.6</v>
      </c>
      <c r="F115" s="8" t="s">
        <v>24</v>
      </c>
      <c r="G115" s="11">
        <v>46070</v>
      </c>
    </row>
    <row r="116" spans="1:9" x14ac:dyDescent="0.2">
      <c r="A116" s="3">
        <v>6</v>
      </c>
      <c r="B116" s="8" t="s">
        <v>5</v>
      </c>
      <c r="C116" s="8" t="s">
        <v>27</v>
      </c>
      <c r="E116" s="8">
        <v>31.3</v>
      </c>
      <c r="F116" s="8" t="s">
        <v>24</v>
      </c>
      <c r="G116" s="11">
        <v>46070</v>
      </c>
    </row>
    <row r="117" spans="1:9" x14ac:dyDescent="0.2">
      <c r="A117" s="3">
        <v>7</v>
      </c>
      <c r="B117" s="8" t="s">
        <v>5</v>
      </c>
      <c r="C117" s="8" t="s">
        <v>27</v>
      </c>
      <c r="E117" s="8">
        <v>29.1</v>
      </c>
      <c r="F117" s="8" t="s">
        <v>24</v>
      </c>
      <c r="G117" s="11">
        <v>46070</v>
      </c>
    </row>
    <row r="118" spans="1:9" x14ac:dyDescent="0.2">
      <c r="A118" s="3">
        <v>8</v>
      </c>
      <c r="B118" s="8" t="s">
        <v>5</v>
      </c>
      <c r="C118" s="8" t="s">
        <v>27</v>
      </c>
      <c r="E118" s="8">
        <v>27.9</v>
      </c>
      <c r="F118" s="8" t="s">
        <v>24</v>
      </c>
      <c r="G118" s="11">
        <v>46070</v>
      </c>
    </row>
    <row r="119" spans="1:9" x14ac:dyDescent="0.2">
      <c r="A119" s="3">
        <v>9</v>
      </c>
      <c r="B119" s="8" t="s">
        <v>5</v>
      </c>
      <c r="C119" s="8" t="s">
        <v>27</v>
      </c>
      <c r="E119" s="8">
        <v>27.8</v>
      </c>
      <c r="F119" s="8" t="s">
        <v>24</v>
      </c>
      <c r="G119" s="11">
        <v>46070</v>
      </c>
    </row>
    <row r="120" spans="1:9" x14ac:dyDescent="0.2">
      <c r="A120" s="3">
        <v>10</v>
      </c>
      <c r="B120" s="8" t="s">
        <v>5</v>
      </c>
      <c r="C120" s="8" t="s">
        <v>27</v>
      </c>
      <c r="E120" s="8">
        <v>29</v>
      </c>
      <c r="F120" s="8" t="s">
        <v>24</v>
      </c>
      <c r="G120" s="11">
        <v>46070</v>
      </c>
      <c r="H120">
        <f>AVERAGE(E112:E120)</f>
        <v>29.277777777777779</v>
      </c>
      <c r="I120">
        <f>STDEV(E112:E120)</f>
        <v>1.2557644860579729</v>
      </c>
    </row>
    <row r="121" spans="1:9" x14ac:dyDescent="0.2">
      <c r="A121" s="3">
        <v>1</v>
      </c>
      <c r="B121" s="8" t="s">
        <v>5</v>
      </c>
      <c r="C121" s="8" t="s">
        <v>30</v>
      </c>
      <c r="E121" s="8">
        <v>32.200000000000003</v>
      </c>
      <c r="F121" s="8" t="s">
        <v>24</v>
      </c>
      <c r="G121" s="11">
        <v>46076</v>
      </c>
    </row>
    <row r="122" spans="1:9" x14ac:dyDescent="0.2">
      <c r="A122" s="3">
        <v>2</v>
      </c>
      <c r="B122" s="8" t="s">
        <v>5</v>
      </c>
      <c r="C122" s="8" t="s">
        <v>30</v>
      </c>
      <c r="E122" s="8">
        <v>28.5</v>
      </c>
      <c r="F122" s="8" t="s">
        <v>24</v>
      </c>
      <c r="G122" s="11">
        <v>46076</v>
      </c>
    </row>
    <row r="123" spans="1:9" x14ac:dyDescent="0.2">
      <c r="A123" s="3">
        <v>3</v>
      </c>
      <c r="B123" s="8" t="s">
        <v>5</v>
      </c>
      <c r="C123" s="8" t="s">
        <v>30</v>
      </c>
      <c r="E123" s="8">
        <v>29.6</v>
      </c>
      <c r="F123" s="8" t="s">
        <v>24</v>
      </c>
      <c r="G123" s="11">
        <v>46076</v>
      </c>
    </row>
    <row r="124" spans="1:9" x14ac:dyDescent="0.2">
      <c r="A124" s="3">
        <v>4</v>
      </c>
      <c r="B124" s="8" t="s">
        <v>5</v>
      </c>
      <c r="C124" s="8" t="s">
        <v>30</v>
      </c>
      <c r="E124" s="8">
        <v>28.1</v>
      </c>
      <c r="F124" s="8" t="s">
        <v>24</v>
      </c>
      <c r="G124" s="11">
        <v>46076</v>
      </c>
    </row>
    <row r="125" spans="1:9" x14ac:dyDescent="0.2">
      <c r="A125" s="3">
        <v>5</v>
      </c>
      <c r="B125" s="8" t="s">
        <v>5</v>
      </c>
      <c r="C125" s="8" t="s">
        <v>30</v>
      </c>
      <c r="E125" s="8">
        <v>28.5</v>
      </c>
      <c r="F125" s="8" t="s">
        <v>24</v>
      </c>
      <c r="G125" s="11">
        <v>46076</v>
      </c>
    </row>
    <row r="126" spans="1:9" x14ac:dyDescent="0.2">
      <c r="A126" s="3">
        <v>6</v>
      </c>
      <c r="B126" s="8" t="s">
        <v>5</v>
      </c>
      <c r="C126" s="8" t="s">
        <v>30</v>
      </c>
      <c r="E126" s="8">
        <v>32.5</v>
      </c>
      <c r="F126" s="8" t="s">
        <v>24</v>
      </c>
      <c r="G126" s="11">
        <v>46076</v>
      </c>
    </row>
    <row r="127" spans="1:9" x14ac:dyDescent="0.2">
      <c r="A127" s="3">
        <v>7</v>
      </c>
      <c r="B127" s="8" t="s">
        <v>5</v>
      </c>
      <c r="C127" s="8" t="s">
        <v>30</v>
      </c>
      <c r="E127" s="8">
        <v>32.200000000000003</v>
      </c>
      <c r="F127" s="8" t="s">
        <v>24</v>
      </c>
      <c r="G127" s="11">
        <v>46076</v>
      </c>
    </row>
    <row r="128" spans="1:9" x14ac:dyDescent="0.2">
      <c r="A128" s="3">
        <v>8</v>
      </c>
      <c r="B128" s="8" t="s">
        <v>5</v>
      </c>
      <c r="C128" s="8" t="s">
        <v>30</v>
      </c>
      <c r="E128" s="8">
        <v>27.2</v>
      </c>
      <c r="F128" s="8" t="s">
        <v>24</v>
      </c>
      <c r="G128" s="11">
        <v>46076</v>
      </c>
    </row>
    <row r="129" spans="1:9" x14ac:dyDescent="0.2">
      <c r="A129" s="3">
        <v>9</v>
      </c>
      <c r="B129" s="8" t="s">
        <v>5</v>
      </c>
      <c r="C129" s="8" t="s">
        <v>30</v>
      </c>
      <c r="E129" s="8">
        <v>29.8</v>
      </c>
      <c r="F129" s="8" t="s">
        <v>24</v>
      </c>
      <c r="G129" s="11">
        <v>46076</v>
      </c>
    </row>
    <row r="130" spans="1:9" x14ac:dyDescent="0.2">
      <c r="A130" s="3">
        <v>10</v>
      </c>
      <c r="B130" s="8" t="s">
        <v>5</v>
      </c>
      <c r="C130" s="8" t="s">
        <v>30</v>
      </c>
      <c r="E130" s="8">
        <v>28.4</v>
      </c>
      <c r="F130" s="8" t="s">
        <v>24</v>
      </c>
      <c r="G130" s="11">
        <v>46076</v>
      </c>
      <c r="H130">
        <f>AVERAGE(E121:E130)</f>
        <v>29.7</v>
      </c>
      <c r="I130">
        <f>STDEV(E121:E130)</f>
        <v>1.9362047641943485</v>
      </c>
    </row>
    <row r="131" spans="1:9" x14ac:dyDescent="0.2">
      <c r="A131" s="3">
        <v>1</v>
      </c>
      <c r="B131" s="8" t="s">
        <v>5</v>
      </c>
      <c r="C131" s="8" t="s">
        <v>31</v>
      </c>
      <c r="E131" s="8">
        <v>56.2</v>
      </c>
      <c r="F131" s="8" t="s">
        <v>23</v>
      </c>
      <c r="G131" s="11">
        <v>46078</v>
      </c>
    </row>
    <row r="132" spans="1:9" x14ac:dyDescent="0.2">
      <c r="A132" s="3">
        <v>2</v>
      </c>
      <c r="B132" s="8" t="s">
        <v>5</v>
      </c>
      <c r="C132" s="8" t="s">
        <v>31</v>
      </c>
      <c r="E132" s="8">
        <v>58.1</v>
      </c>
      <c r="F132" s="8" t="s">
        <v>23</v>
      </c>
      <c r="G132" s="11">
        <v>46078</v>
      </c>
    </row>
    <row r="133" spans="1:9" x14ac:dyDescent="0.2">
      <c r="A133" s="3">
        <v>3</v>
      </c>
      <c r="B133" s="8" t="s">
        <v>5</v>
      </c>
      <c r="C133" s="8" t="s">
        <v>31</v>
      </c>
      <c r="E133" s="8">
        <v>52.6</v>
      </c>
      <c r="F133" s="8" t="s">
        <v>23</v>
      </c>
      <c r="G133" s="11">
        <v>46078</v>
      </c>
    </row>
    <row r="134" spans="1:9" x14ac:dyDescent="0.2">
      <c r="A134" s="3">
        <v>4</v>
      </c>
      <c r="B134" s="8" t="s">
        <v>5</v>
      </c>
      <c r="C134" s="8" t="s">
        <v>31</v>
      </c>
      <c r="E134" s="8">
        <v>51</v>
      </c>
      <c r="F134" s="8" t="s">
        <v>23</v>
      </c>
      <c r="G134" s="11">
        <v>46078</v>
      </c>
    </row>
    <row r="135" spans="1:9" x14ac:dyDescent="0.2">
      <c r="A135" s="3">
        <v>5</v>
      </c>
      <c r="B135" s="8" t="s">
        <v>5</v>
      </c>
      <c r="C135" s="8" t="s">
        <v>31</v>
      </c>
      <c r="E135" s="8">
        <v>51.1</v>
      </c>
      <c r="F135" s="8" t="s">
        <v>23</v>
      </c>
      <c r="G135" s="11">
        <v>46078</v>
      </c>
    </row>
    <row r="136" spans="1:9" x14ac:dyDescent="0.2">
      <c r="A136" s="3">
        <v>6</v>
      </c>
      <c r="B136" s="8" t="s">
        <v>5</v>
      </c>
      <c r="C136" s="8" t="s">
        <v>31</v>
      </c>
      <c r="E136" s="8">
        <v>52.4</v>
      </c>
      <c r="F136" s="8" t="s">
        <v>23</v>
      </c>
      <c r="G136" s="11">
        <v>46078</v>
      </c>
    </row>
    <row r="137" spans="1:9" x14ac:dyDescent="0.2">
      <c r="A137" s="3">
        <v>7</v>
      </c>
      <c r="B137" s="8" t="s">
        <v>5</v>
      </c>
      <c r="C137" s="8" t="s">
        <v>31</v>
      </c>
      <c r="E137" s="8">
        <v>57.7</v>
      </c>
      <c r="F137" s="8" t="s">
        <v>23</v>
      </c>
      <c r="G137" s="11">
        <v>46078</v>
      </c>
    </row>
    <row r="138" spans="1:9" x14ac:dyDescent="0.2">
      <c r="A138" s="3">
        <v>8</v>
      </c>
      <c r="B138" s="8" t="s">
        <v>5</v>
      </c>
      <c r="C138" s="8" t="s">
        <v>31</v>
      </c>
      <c r="E138" s="8">
        <v>51.6</v>
      </c>
      <c r="F138" s="8" t="s">
        <v>23</v>
      </c>
      <c r="G138" s="11">
        <v>46078</v>
      </c>
    </row>
    <row r="139" spans="1:9" x14ac:dyDescent="0.2">
      <c r="A139" s="3">
        <v>9</v>
      </c>
      <c r="B139" s="8" t="s">
        <v>5</v>
      </c>
      <c r="C139" s="8" t="s">
        <v>31</v>
      </c>
      <c r="E139" s="8">
        <v>53</v>
      </c>
      <c r="F139" s="8" t="s">
        <v>23</v>
      </c>
      <c r="G139" s="11">
        <v>46078</v>
      </c>
    </row>
    <row r="140" spans="1:9" x14ac:dyDescent="0.2">
      <c r="A140" s="3">
        <v>10</v>
      </c>
      <c r="B140" s="8" t="s">
        <v>5</v>
      </c>
      <c r="C140" s="8" t="s">
        <v>31</v>
      </c>
      <c r="E140" s="8">
        <v>52.1</v>
      </c>
      <c r="F140" s="8" t="s">
        <v>23</v>
      </c>
      <c r="G140" s="11">
        <v>46078</v>
      </c>
      <c r="H140">
        <f>AVERAGE(E131:E140)</f>
        <v>53.58</v>
      </c>
      <c r="I140">
        <f>STDEV(E131:E140)</f>
        <v>2.7054677147501796</v>
      </c>
    </row>
    <row r="141" spans="1:9" x14ac:dyDescent="0.2">
      <c r="A141" s="3">
        <v>1</v>
      </c>
      <c r="B141" s="8" t="s">
        <v>5</v>
      </c>
      <c r="C141" s="8" t="s">
        <v>31</v>
      </c>
      <c r="E141" s="8">
        <v>25.5</v>
      </c>
      <c r="F141" s="8" t="s">
        <v>24</v>
      </c>
      <c r="G141" s="11">
        <v>46078</v>
      </c>
    </row>
    <row r="142" spans="1:9" x14ac:dyDescent="0.2">
      <c r="A142" s="3">
        <v>2</v>
      </c>
      <c r="B142" s="8" t="s">
        <v>5</v>
      </c>
      <c r="C142" s="8" t="s">
        <v>31</v>
      </c>
      <c r="E142" s="8">
        <v>24.2</v>
      </c>
      <c r="F142" s="8" t="s">
        <v>24</v>
      </c>
      <c r="G142" s="11">
        <v>46078</v>
      </c>
    </row>
    <row r="143" spans="1:9" x14ac:dyDescent="0.2">
      <c r="A143" s="3">
        <v>3</v>
      </c>
      <c r="B143" s="8" t="s">
        <v>5</v>
      </c>
      <c r="C143" s="8" t="s">
        <v>31</v>
      </c>
      <c r="E143" s="8">
        <v>27.3</v>
      </c>
      <c r="F143" s="8" t="s">
        <v>24</v>
      </c>
      <c r="G143" s="11">
        <v>46078</v>
      </c>
    </row>
    <row r="144" spans="1:9" x14ac:dyDescent="0.2">
      <c r="A144" s="3">
        <v>4</v>
      </c>
      <c r="B144" s="8" t="s">
        <v>5</v>
      </c>
      <c r="C144" s="8" t="s">
        <v>31</v>
      </c>
      <c r="E144" s="8">
        <v>26.2</v>
      </c>
      <c r="F144" s="8" t="s">
        <v>24</v>
      </c>
      <c r="G144" s="11">
        <v>46078</v>
      </c>
    </row>
    <row r="145" spans="1:9" x14ac:dyDescent="0.2">
      <c r="A145" s="3">
        <v>5</v>
      </c>
      <c r="B145" s="8" t="s">
        <v>5</v>
      </c>
      <c r="C145" s="8" t="s">
        <v>31</v>
      </c>
      <c r="E145" s="8">
        <v>25.9</v>
      </c>
      <c r="F145" s="8" t="s">
        <v>24</v>
      </c>
      <c r="G145" s="11">
        <v>46078</v>
      </c>
    </row>
    <row r="146" spans="1:9" x14ac:dyDescent="0.2">
      <c r="A146" s="3">
        <v>6</v>
      </c>
      <c r="B146" s="8" t="s">
        <v>5</v>
      </c>
      <c r="C146" s="8" t="s">
        <v>31</v>
      </c>
      <c r="E146" s="8">
        <v>26.2</v>
      </c>
      <c r="F146" s="8" t="s">
        <v>24</v>
      </c>
      <c r="G146" s="11">
        <v>46078</v>
      </c>
    </row>
    <row r="147" spans="1:9" x14ac:dyDescent="0.2">
      <c r="A147" s="3">
        <v>7</v>
      </c>
      <c r="B147" s="8" t="s">
        <v>5</v>
      </c>
      <c r="C147" s="8" t="s">
        <v>31</v>
      </c>
      <c r="E147" s="8">
        <v>28</v>
      </c>
      <c r="F147" s="8" t="s">
        <v>24</v>
      </c>
      <c r="G147" s="11">
        <v>46078</v>
      </c>
    </row>
    <row r="148" spans="1:9" x14ac:dyDescent="0.2">
      <c r="A148" s="3">
        <v>8</v>
      </c>
      <c r="B148" s="8" t="s">
        <v>5</v>
      </c>
      <c r="C148" s="8" t="s">
        <v>31</v>
      </c>
      <c r="E148" s="8">
        <v>27.4</v>
      </c>
      <c r="F148" s="8" t="s">
        <v>24</v>
      </c>
      <c r="G148" s="11">
        <v>46078</v>
      </c>
    </row>
    <row r="149" spans="1:9" x14ac:dyDescent="0.2">
      <c r="A149" s="3">
        <v>9</v>
      </c>
      <c r="B149" s="8" t="s">
        <v>5</v>
      </c>
      <c r="C149" s="8" t="s">
        <v>31</v>
      </c>
      <c r="E149" s="8">
        <v>26</v>
      </c>
      <c r="F149" s="8" t="s">
        <v>24</v>
      </c>
      <c r="G149" s="11">
        <v>46078</v>
      </c>
    </row>
    <row r="150" spans="1:9" x14ac:dyDescent="0.2">
      <c r="A150" s="3">
        <v>10</v>
      </c>
      <c r="B150" s="8" t="s">
        <v>5</v>
      </c>
      <c r="C150" s="8" t="s">
        <v>31</v>
      </c>
      <c r="E150" s="8">
        <v>29</v>
      </c>
      <c r="F150" s="8" t="s">
        <v>24</v>
      </c>
      <c r="G150" s="11">
        <v>46078</v>
      </c>
      <c r="H150">
        <f>AVERAGE(E141:E150)</f>
        <v>26.57</v>
      </c>
      <c r="I150">
        <f>STDEV(E141:E150)</f>
        <v>1.3736002976767943</v>
      </c>
    </row>
    <row r="151" spans="1:9" x14ac:dyDescent="0.2">
      <c r="A151" s="3">
        <v>1</v>
      </c>
      <c r="B151" s="8" t="s">
        <v>5</v>
      </c>
      <c r="C151" s="8" t="s">
        <v>32</v>
      </c>
      <c r="E151" s="8">
        <v>64.7</v>
      </c>
      <c r="F151" s="8" t="s">
        <v>23</v>
      </c>
      <c r="G151" s="11">
        <v>46078</v>
      </c>
    </row>
    <row r="152" spans="1:9" x14ac:dyDescent="0.2">
      <c r="A152" s="3">
        <v>2</v>
      </c>
      <c r="B152" s="8" t="s">
        <v>5</v>
      </c>
      <c r="C152" s="8" t="s">
        <v>32</v>
      </c>
      <c r="E152" s="8">
        <v>66.2</v>
      </c>
      <c r="F152" s="8" t="s">
        <v>23</v>
      </c>
      <c r="G152" s="11">
        <v>46078</v>
      </c>
    </row>
    <row r="153" spans="1:9" x14ac:dyDescent="0.2">
      <c r="A153" s="3">
        <v>3</v>
      </c>
      <c r="B153" s="8" t="s">
        <v>5</v>
      </c>
      <c r="C153" s="8" t="s">
        <v>32</v>
      </c>
      <c r="E153" s="8">
        <v>58.8</v>
      </c>
      <c r="F153" s="8" t="s">
        <v>23</v>
      </c>
      <c r="G153" s="11">
        <v>46078</v>
      </c>
    </row>
    <row r="154" spans="1:9" x14ac:dyDescent="0.2">
      <c r="A154" s="3">
        <v>4</v>
      </c>
      <c r="B154" s="8" t="s">
        <v>5</v>
      </c>
      <c r="C154" s="8" t="s">
        <v>32</v>
      </c>
      <c r="E154" s="8">
        <v>59.3</v>
      </c>
      <c r="F154" s="8" t="s">
        <v>23</v>
      </c>
      <c r="G154" s="11">
        <v>46078</v>
      </c>
    </row>
    <row r="155" spans="1:9" x14ac:dyDescent="0.2">
      <c r="A155" s="3">
        <v>5</v>
      </c>
      <c r="B155" s="8" t="s">
        <v>5</v>
      </c>
      <c r="C155" s="8" t="s">
        <v>32</v>
      </c>
      <c r="E155" s="8">
        <v>60.8</v>
      </c>
      <c r="F155" s="8" t="s">
        <v>23</v>
      </c>
      <c r="G155" s="11">
        <v>46078</v>
      </c>
    </row>
    <row r="156" spans="1:9" x14ac:dyDescent="0.2">
      <c r="A156" s="3">
        <v>6</v>
      </c>
      <c r="B156" s="8" t="s">
        <v>5</v>
      </c>
      <c r="C156" s="8" t="s">
        <v>32</v>
      </c>
      <c r="E156" s="8">
        <v>60.4</v>
      </c>
      <c r="F156" s="8" t="s">
        <v>23</v>
      </c>
      <c r="G156" s="11">
        <v>46078</v>
      </c>
    </row>
    <row r="157" spans="1:9" x14ac:dyDescent="0.2">
      <c r="A157" s="3">
        <v>7</v>
      </c>
      <c r="B157" s="8" t="s">
        <v>5</v>
      </c>
      <c r="C157" s="8" t="s">
        <v>32</v>
      </c>
      <c r="E157" s="8">
        <v>58.6</v>
      </c>
      <c r="F157" s="8" t="s">
        <v>23</v>
      </c>
      <c r="G157" s="11">
        <v>46078</v>
      </c>
    </row>
    <row r="158" spans="1:9" x14ac:dyDescent="0.2">
      <c r="A158" s="3">
        <v>8</v>
      </c>
      <c r="B158" s="8" t="s">
        <v>5</v>
      </c>
      <c r="C158" s="8" t="s">
        <v>32</v>
      </c>
      <c r="E158" s="8">
        <v>60.9</v>
      </c>
      <c r="F158" s="8" t="s">
        <v>23</v>
      </c>
      <c r="G158" s="11">
        <v>46078</v>
      </c>
    </row>
    <row r="159" spans="1:9" x14ac:dyDescent="0.2">
      <c r="A159" s="3">
        <v>9</v>
      </c>
      <c r="B159" s="8" t="s">
        <v>5</v>
      </c>
      <c r="C159" s="8" t="s">
        <v>32</v>
      </c>
      <c r="E159" s="8">
        <v>63.6</v>
      </c>
      <c r="F159" s="8" t="s">
        <v>23</v>
      </c>
      <c r="G159" s="11">
        <v>46078</v>
      </c>
    </row>
    <row r="160" spans="1:9" x14ac:dyDescent="0.2">
      <c r="A160" s="3">
        <v>10</v>
      </c>
      <c r="B160" s="8" t="s">
        <v>5</v>
      </c>
      <c r="C160" s="8" t="s">
        <v>32</v>
      </c>
      <c r="E160" s="8">
        <v>62.9</v>
      </c>
      <c r="F160" s="8" t="s">
        <v>23</v>
      </c>
      <c r="G160" s="11">
        <v>46078</v>
      </c>
      <c r="H160">
        <f>AVERAGE(E151:E160)</f>
        <v>61.61999999999999</v>
      </c>
      <c r="I160">
        <f>STDEV(E151:E160)</f>
        <v>2.6067433918802054</v>
      </c>
    </row>
    <row r="161" spans="1:9" x14ac:dyDescent="0.2">
      <c r="A161" s="3">
        <v>1</v>
      </c>
      <c r="B161" s="8" t="s">
        <v>5</v>
      </c>
      <c r="C161" s="8" t="s">
        <v>32</v>
      </c>
      <c r="E161" s="8">
        <v>30.3</v>
      </c>
      <c r="F161" s="8" t="s">
        <v>24</v>
      </c>
      <c r="G161" s="11">
        <v>46078</v>
      </c>
    </row>
    <row r="162" spans="1:9" x14ac:dyDescent="0.2">
      <c r="A162" s="3">
        <v>2</v>
      </c>
      <c r="B162" s="8" t="s">
        <v>5</v>
      </c>
      <c r="C162" s="8" t="s">
        <v>32</v>
      </c>
      <c r="E162" s="8">
        <v>29.5</v>
      </c>
      <c r="F162" s="8" t="s">
        <v>24</v>
      </c>
      <c r="G162" s="11">
        <v>46078</v>
      </c>
    </row>
    <row r="163" spans="1:9" x14ac:dyDescent="0.2">
      <c r="A163" s="3">
        <v>3</v>
      </c>
      <c r="B163" s="8" t="s">
        <v>5</v>
      </c>
      <c r="C163" s="8" t="s">
        <v>32</v>
      </c>
      <c r="E163" s="8">
        <v>28.5</v>
      </c>
      <c r="F163" s="8" t="s">
        <v>24</v>
      </c>
      <c r="G163" s="11">
        <v>46078</v>
      </c>
    </row>
    <row r="164" spans="1:9" x14ac:dyDescent="0.2">
      <c r="A164" s="3">
        <v>4</v>
      </c>
      <c r="B164" s="8" t="s">
        <v>5</v>
      </c>
      <c r="C164" s="8" t="s">
        <v>32</v>
      </c>
      <c r="E164" s="8">
        <v>25.2</v>
      </c>
      <c r="F164" s="8" t="s">
        <v>24</v>
      </c>
      <c r="G164" s="11">
        <v>46078</v>
      </c>
    </row>
    <row r="165" spans="1:9" x14ac:dyDescent="0.2">
      <c r="A165" s="3">
        <v>5</v>
      </c>
      <c r="B165" s="8" t="s">
        <v>5</v>
      </c>
      <c r="C165" s="8" t="s">
        <v>32</v>
      </c>
      <c r="E165" s="8">
        <v>26.4</v>
      </c>
      <c r="F165" s="8" t="s">
        <v>24</v>
      </c>
      <c r="G165" s="11">
        <v>46078</v>
      </c>
    </row>
    <row r="166" spans="1:9" x14ac:dyDescent="0.2">
      <c r="A166" s="3">
        <v>6</v>
      </c>
      <c r="B166" s="8" t="s">
        <v>5</v>
      </c>
      <c r="C166" s="8" t="s">
        <v>32</v>
      </c>
      <c r="E166" s="8">
        <v>28.9</v>
      </c>
      <c r="F166" s="8" t="s">
        <v>24</v>
      </c>
      <c r="G166" s="11">
        <v>46078</v>
      </c>
    </row>
    <row r="167" spans="1:9" x14ac:dyDescent="0.2">
      <c r="A167" s="3">
        <v>7</v>
      </c>
      <c r="B167" s="8" t="s">
        <v>5</v>
      </c>
      <c r="C167" s="8" t="s">
        <v>32</v>
      </c>
      <c r="E167" s="8">
        <v>28.4</v>
      </c>
      <c r="F167" s="8" t="s">
        <v>24</v>
      </c>
      <c r="G167" s="11">
        <v>46078</v>
      </c>
    </row>
    <row r="168" spans="1:9" x14ac:dyDescent="0.2">
      <c r="A168" s="3">
        <v>8</v>
      </c>
      <c r="B168" s="8" t="s">
        <v>5</v>
      </c>
      <c r="C168" s="8" t="s">
        <v>32</v>
      </c>
      <c r="E168" s="8">
        <v>30.2</v>
      </c>
      <c r="F168" s="8" t="s">
        <v>24</v>
      </c>
      <c r="G168" s="11">
        <v>46078</v>
      </c>
    </row>
    <row r="169" spans="1:9" x14ac:dyDescent="0.2">
      <c r="A169" s="3">
        <v>9</v>
      </c>
      <c r="B169" s="8" t="s">
        <v>5</v>
      </c>
      <c r="C169" s="8" t="s">
        <v>32</v>
      </c>
      <c r="E169" s="8">
        <v>26.9</v>
      </c>
      <c r="F169" s="8" t="s">
        <v>24</v>
      </c>
      <c r="G169" s="11">
        <v>46078</v>
      </c>
    </row>
    <row r="170" spans="1:9" x14ac:dyDescent="0.2">
      <c r="A170" s="3">
        <v>10</v>
      </c>
      <c r="B170" s="8" t="s">
        <v>5</v>
      </c>
      <c r="C170" s="8" t="s">
        <v>32</v>
      </c>
      <c r="E170" s="8">
        <v>27.1</v>
      </c>
      <c r="F170" s="8" t="s">
        <v>24</v>
      </c>
      <c r="G170" s="11">
        <v>46078</v>
      </c>
      <c r="H170">
        <f>AVERAGE(E161:E170)</f>
        <v>28.140000000000004</v>
      </c>
      <c r="I170">
        <f>STDEV(E161:E170)</f>
        <v>1.6939106627367733</v>
      </c>
    </row>
    <row r="171" spans="1:9" ht="17" x14ac:dyDescent="0.2">
      <c r="A171" s="3">
        <v>1</v>
      </c>
      <c r="B171" s="13" t="s">
        <v>5</v>
      </c>
      <c r="C171" s="13" t="s">
        <v>33</v>
      </c>
      <c r="E171" s="8">
        <v>68.900000000000006</v>
      </c>
      <c r="F171" s="8" t="s">
        <v>23</v>
      </c>
      <c r="G171" s="11">
        <v>46084</v>
      </c>
    </row>
    <row r="172" spans="1:9" ht="17" x14ac:dyDescent="0.2">
      <c r="A172" s="3">
        <v>2</v>
      </c>
      <c r="B172" s="13" t="s">
        <v>5</v>
      </c>
      <c r="C172" s="13" t="s">
        <v>33</v>
      </c>
      <c r="E172" s="8">
        <v>66.7</v>
      </c>
      <c r="F172" s="8" t="s">
        <v>23</v>
      </c>
      <c r="G172" s="11">
        <v>46084</v>
      </c>
    </row>
    <row r="173" spans="1:9" ht="17" x14ac:dyDescent="0.2">
      <c r="A173" s="3">
        <v>3</v>
      </c>
      <c r="B173" s="13" t="s">
        <v>5</v>
      </c>
      <c r="C173" s="13" t="s">
        <v>33</v>
      </c>
      <c r="E173" s="8">
        <v>64.5</v>
      </c>
      <c r="F173" s="8" t="s">
        <v>23</v>
      </c>
      <c r="G173" s="11">
        <v>46084</v>
      </c>
    </row>
    <row r="174" spans="1:9" ht="17" x14ac:dyDescent="0.2">
      <c r="A174" s="3">
        <v>4</v>
      </c>
      <c r="B174" s="13" t="s">
        <v>5</v>
      </c>
      <c r="C174" s="13" t="s">
        <v>33</v>
      </c>
      <c r="E174" s="8">
        <v>68.099999999999994</v>
      </c>
      <c r="F174" s="8" t="s">
        <v>23</v>
      </c>
      <c r="G174" s="11">
        <v>46084</v>
      </c>
    </row>
    <row r="175" spans="1:9" ht="17" x14ac:dyDescent="0.2">
      <c r="A175" s="3">
        <v>5</v>
      </c>
      <c r="B175" s="13" t="s">
        <v>5</v>
      </c>
      <c r="C175" s="13" t="s">
        <v>33</v>
      </c>
      <c r="E175" s="8">
        <v>64.099999999999994</v>
      </c>
      <c r="F175" s="8" t="s">
        <v>23</v>
      </c>
      <c r="G175" s="11">
        <v>46084</v>
      </c>
    </row>
    <row r="176" spans="1:9" ht="17" x14ac:dyDescent="0.2">
      <c r="A176" s="3">
        <v>6</v>
      </c>
      <c r="B176" s="13" t="s">
        <v>5</v>
      </c>
      <c r="C176" s="13" t="s">
        <v>33</v>
      </c>
      <c r="E176" s="8">
        <v>69.7</v>
      </c>
      <c r="F176" s="8" t="s">
        <v>23</v>
      </c>
      <c r="G176" s="11">
        <v>46084</v>
      </c>
    </row>
    <row r="177" spans="1:9" ht="17" x14ac:dyDescent="0.2">
      <c r="A177" s="3">
        <v>7</v>
      </c>
      <c r="B177" s="13" t="s">
        <v>5</v>
      </c>
      <c r="C177" s="13" t="s">
        <v>33</v>
      </c>
      <c r="E177" s="8">
        <v>66.8</v>
      </c>
      <c r="F177" s="8" t="s">
        <v>23</v>
      </c>
      <c r="G177" s="11">
        <v>46084</v>
      </c>
    </row>
    <row r="178" spans="1:9" ht="17" x14ac:dyDescent="0.2">
      <c r="A178" s="3">
        <v>8</v>
      </c>
      <c r="B178" s="13" t="s">
        <v>5</v>
      </c>
      <c r="C178" s="13" t="s">
        <v>33</v>
      </c>
      <c r="E178" s="8">
        <v>74.7</v>
      </c>
      <c r="F178" s="8" t="s">
        <v>23</v>
      </c>
      <c r="G178" s="11">
        <v>46084</v>
      </c>
    </row>
    <row r="179" spans="1:9" ht="17" x14ac:dyDescent="0.2">
      <c r="A179" s="3">
        <v>9</v>
      </c>
      <c r="B179" s="13" t="s">
        <v>5</v>
      </c>
      <c r="C179" s="13" t="s">
        <v>33</v>
      </c>
      <c r="E179" s="8">
        <v>71.5</v>
      </c>
      <c r="F179" s="8" t="s">
        <v>23</v>
      </c>
      <c r="G179" s="11">
        <v>46084</v>
      </c>
    </row>
    <row r="180" spans="1:9" ht="17" x14ac:dyDescent="0.2">
      <c r="A180" s="3">
        <v>10</v>
      </c>
      <c r="B180" s="13" t="s">
        <v>5</v>
      </c>
      <c r="C180" s="13" t="s">
        <v>33</v>
      </c>
      <c r="E180" s="8">
        <v>73.2</v>
      </c>
      <c r="F180" s="8" t="s">
        <v>23</v>
      </c>
      <c r="G180" s="11">
        <v>46084</v>
      </c>
      <c r="H180">
        <f>AVERAGE(E171:E180)</f>
        <v>68.820000000000022</v>
      </c>
      <c r="I180">
        <f>STDEV(E171:E180)</f>
        <v>3.5238236807952448</v>
      </c>
    </row>
    <row r="181" spans="1:9" ht="17" x14ac:dyDescent="0.2">
      <c r="A181" s="3">
        <v>1</v>
      </c>
      <c r="B181" s="13" t="s">
        <v>5</v>
      </c>
      <c r="C181" s="13" t="s">
        <v>33</v>
      </c>
      <c r="E181" s="8">
        <v>34.5</v>
      </c>
      <c r="F181" s="8" t="s">
        <v>24</v>
      </c>
      <c r="G181" s="11">
        <v>46084</v>
      </c>
    </row>
    <row r="182" spans="1:9" ht="17" x14ac:dyDescent="0.2">
      <c r="A182" s="3">
        <v>2</v>
      </c>
      <c r="B182" s="13" t="s">
        <v>5</v>
      </c>
      <c r="C182" s="13" t="s">
        <v>33</v>
      </c>
      <c r="E182" s="8">
        <v>33.9</v>
      </c>
      <c r="F182" s="8" t="s">
        <v>24</v>
      </c>
      <c r="G182" s="11">
        <v>46084</v>
      </c>
    </row>
    <row r="183" spans="1:9" ht="17" x14ac:dyDescent="0.2">
      <c r="A183" s="3">
        <v>3</v>
      </c>
      <c r="B183" s="13" t="s">
        <v>5</v>
      </c>
      <c r="C183" s="13" t="s">
        <v>33</v>
      </c>
      <c r="E183" s="8">
        <v>31.8</v>
      </c>
      <c r="F183" s="8" t="s">
        <v>24</v>
      </c>
      <c r="G183" s="11">
        <v>46084</v>
      </c>
    </row>
    <row r="184" spans="1:9" ht="17" x14ac:dyDescent="0.2">
      <c r="A184" s="3">
        <v>4</v>
      </c>
      <c r="B184" s="13" t="s">
        <v>5</v>
      </c>
      <c r="C184" s="13" t="s">
        <v>33</v>
      </c>
      <c r="E184" s="8">
        <v>33.799999999999997</v>
      </c>
      <c r="F184" s="8" t="s">
        <v>24</v>
      </c>
      <c r="G184" s="11">
        <v>46084</v>
      </c>
    </row>
    <row r="185" spans="1:9" ht="17" x14ac:dyDescent="0.2">
      <c r="A185" s="3">
        <v>5</v>
      </c>
      <c r="B185" s="13" t="s">
        <v>5</v>
      </c>
      <c r="C185" s="13" t="s">
        <v>33</v>
      </c>
      <c r="E185" s="8">
        <v>35.1</v>
      </c>
      <c r="F185" s="8" t="s">
        <v>24</v>
      </c>
      <c r="G185" s="11">
        <v>46084</v>
      </c>
    </row>
    <row r="186" spans="1:9" ht="17" x14ac:dyDescent="0.2">
      <c r="A186" s="3">
        <v>6</v>
      </c>
      <c r="B186" s="13" t="s">
        <v>5</v>
      </c>
      <c r="C186" s="13" t="s">
        <v>33</v>
      </c>
      <c r="E186" s="8">
        <v>33.6</v>
      </c>
      <c r="F186" s="8" t="s">
        <v>24</v>
      </c>
      <c r="G186" s="11">
        <v>46084</v>
      </c>
    </row>
    <row r="187" spans="1:9" ht="17" x14ac:dyDescent="0.2">
      <c r="A187" s="3">
        <v>7</v>
      </c>
      <c r="B187" s="13" t="s">
        <v>5</v>
      </c>
      <c r="C187" s="13" t="s">
        <v>33</v>
      </c>
      <c r="E187" s="8">
        <v>33.9</v>
      </c>
      <c r="F187" s="8" t="s">
        <v>24</v>
      </c>
      <c r="G187" s="11">
        <v>46084</v>
      </c>
    </row>
    <row r="188" spans="1:9" ht="17" x14ac:dyDescent="0.2">
      <c r="A188" s="3">
        <v>8</v>
      </c>
      <c r="B188" s="13" t="s">
        <v>5</v>
      </c>
      <c r="C188" s="13" t="s">
        <v>33</v>
      </c>
      <c r="E188" s="8">
        <v>33.1</v>
      </c>
      <c r="F188" s="8" t="s">
        <v>24</v>
      </c>
      <c r="G188" s="11">
        <v>46084</v>
      </c>
    </row>
    <row r="189" spans="1:9" ht="17" x14ac:dyDescent="0.2">
      <c r="A189" s="3">
        <v>9</v>
      </c>
      <c r="B189" s="13" t="s">
        <v>5</v>
      </c>
      <c r="C189" s="13" t="s">
        <v>33</v>
      </c>
      <c r="E189" s="8">
        <v>34.9</v>
      </c>
      <c r="F189" s="8" t="s">
        <v>24</v>
      </c>
      <c r="G189" s="11">
        <v>46084</v>
      </c>
    </row>
    <row r="190" spans="1:9" ht="17" x14ac:dyDescent="0.2">
      <c r="A190" s="3">
        <v>10</v>
      </c>
      <c r="B190" s="13" t="s">
        <v>5</v>
      </c>
      <c r="C190" s="13" t="s">
        <v>33</v>
      </c>
      <c r="E190" s="8">
        <v>33.700000000000003</v>
      </c>
      <c r="F190" s="8" t="s">
        <v>24</v>
      </c>
      <c r="G190" s="11">
        <v>46084</v>
      </c>
      <c r="H190">
        <f>AVERAGE(E181:E190)</f>
        <v>33.83</v>
      </c>
      <c r="I190">
        <f>STDEV(E181:E190)</f>
        <v>0.93932599949822138</v>
      </c>
    </row>
    <row r="191" spans="1:9" ht="17" x14ac:dyDescent="0.2">
      <c r="A191" s="3">
        <v>1</v>
      </c>
      <c r="B191" s="13" t="s">
        <v>5</v>
      </c>
      <c r="C191" s="13" t="s">
        <v>34</v>
      </c>
      <c r="E191" s="8">
        <v>58</v>
      </c>
      <c r="F191" s="8" t="s">
        <v>23</v>
      </c>
      <c r="G191" s="11">
        <v>46084</v>
      </c>
    </row>
    <row r="192" spans="1:9" ht="17" x14ac:dyDescent="0.2">
      <c r="A192" s="3">
        <v>2</v>
      </c>
      <c r="B192" s="13" t="s">
        <v>5</v>
      </c>
      <c r="C192" s="13" t="s">
        <v>34</v>
      </c>
      <c r="E192" s="8">
        <v>52.3</v>
      </c>
      <c r="F192" s="8" t="s">
        <v>23</v>
      </c>
      <c r="G192" s="11">
        <v>46084</v>
      </c>
    </row>
    <row r="193" spans="1:9" ht="17" x14ac:dyDescent="0.2">
      <c r="A193" s="3">
        <v>3</v>
      </c>
      <c r="B193" s="13" t="s">
        <v>5</v>
      </c>
      <c r="C193" s="13" t="s">
        <v>34</v>
      </c>
      <c r="E193" s="8">
        <v>56.5</v>
      </c>
      <c r="F193" s="8" t="s">
        <v>23</v>
      </c>
      <c r="G193" s="11">
        <v>46084</v>
      </c>
    </row>
    <row r="194" spans="1:9" ht="17" x14ac:dyDescent="0.2">
      <c r="A194" s="3">
        <v>4</v>
      </c>
      <c r="B194" s="13" t="s">
        <v>5</v>
      </c>
      <c r="C194" s="13" t="s">
        <v>34</v>
      </c>
      <c r="E194" s="8">
        <v>54.6</v>
      </c>
      <c r="F194" s="8" t="s">
        <v>23</v>
      </c>
      <c r="G194" s="11">
        <v>46084</v>
      </c>
    </row>
    <row r="195" spans="1:9" ht="17" x14ac:dyDescent="0.2">
      <c r="A195" s="3">
        <v>5</v>
      </c>
      <c r="B195" s="13" t="s">
        <v>5</v>
      </c>
      <c r="C195" s="13" t="s">
        <v>34</v>
      </c>
      <c r="E195" s="8">
        <v>54</v>
      </c>
      <c r="F195" s="8" t="s">
        <v>23</v>
      </c>
      <c r="G195" s="11">
        <v>46084</v>
      </c>
    </row>
    <row r="196" spans="1:9" ht="17" x14ac:dyDescent="0.2">
      <c r="A196" s="3">
        <v>6</v>
      </c>
      <c r="B196" s="13" t="s">
        <v>5</v>
      </c>
      <c r="C196" s="13" t="s">
        <v>34</v>
      </c>
      <c r="E196" s="8">
        <v>59.7</v>
      </c>
      <c r="F196" s="8" t="s">
        <v>23</v>
      </c>
      <c r="G196" s="11">
        <v>46084</v>
      </c>
    </row>
    <row r="197" spans="1:9" ht="17" x14ac:dyDescent="0.2">
      <c r="A197" s="3">
        <v>7</v>
      </c>
      <c r="B197" s="13" t="s">
        <v>5</v>
      </c>
      <c r="C197" s="13" t="s">
        <v>34</v>
      </c>
      <c r="E197" s="8">
        <v>58.2</v>
      </c>
      <c r="F197" s="8" t="s">
        <v>23</v>
      </c>
      <c r="G197" s="11">
        <v>46084</v>
      </c>
    </row>
    <row r="198" spans="1:9" ht="17" x14ac:dyDescent="0.2">
      <c r="A198" s="3">
        <v>8</v>
      </c>
      <c r="B198" s="13" t="s">
        <v>5</v>
      </c>
      <c r="C198" s="13" t="s">
        <v>34</v>
      </c>
      <c r="E198" s="8">
        <v>56</v>
      </c>
      <c r="F198" s="8" t="s">
        <v>23</v>
      </c>
      <c r="G198" s="11">
        <v>46084</v>
      </c>
    </row>
    <row r="199" spans="1:9" ht="17" x14ac:dyDescent="0.2">
      <c r="A199" s="3">
        <v>9</v>
      </c>
      <c r="B199" s="13" t="s">
        <v>5</v>
      </c>
      <c r="C199" s="13" t="s">
        <v>34</v>
      </c>
      <c r="E199" s="8">
        <v>54.2</v>
      </c>
      <c r="F199" s="8" t="s">
        <v>23</v>
      </c>
      <c r="G199" s="11">
        <v>46084</v>
      </c>
    </row>
    <row r="200" spans="1:9" ht="17" x14ac:dyDescent="0.2">
      <c r="A200" s="3">
        <v>10</v>
      </c>
      <c r="B200" s="13" t="s">
        <v>5</v>
      </c>
      <c r="C200" s="13" t="s">
        <v>34</v>
      </c>
      <c r="E200" s="8">
        <v>59.9</v>
      </c>
      <c r="F200" s="8" t="s">
        <v>23</v>
      </c>
      <c r="G200" s="11">
        <v>46084</v>
      </c>
      <c r="H200">
        <f>AVERAGE(E191:E200)</f>
        <v>56.339999999999996</v>
      </c>
      <c r="I200">
        <f>STDEV(E191:E200)</f>
        <v>2.5760434778939589</v>
      </c>
    </row>
    <row r="201" spans="1:9" ht="17" x14ac:dyDescent="0.2">
      <c r="A201" s="3">
        <v>1</v>
      </c>
      <c r="B201" s="13" t="s">
        <v>5</v>
      </c>
      <c r="C201" s="13" t="s">
        <v>34</v>
      </c>
      <c r="E201" s="8">
        <v>29.8</v>
      </c>
      <c r="F201" s="8" t="s">
        <v>24</v>
      </c>
      <c r="G201" s="11">
        <v>46084</v>
      </c>
    </row>
    <row r="202" spans="1:9" ht="17" x14ac:dyDescent="0.2">
      <c r="A202" s="3">
        <v>2</v>
      </c>
      <c r="B202" s="13" t="s">
        <v>5</v>
      </c>
      <c r="C202" s="13" t="s">
        <v>34</v>
      </c>
      <c r="E202" s="8">
        <v>29.4</v>
      </c>
      <c r="F202" s="8" t="s">
        <v>24</v>
      </c>
      <c r="G202" s="11">
        <v>46084</v>
      </c>
    </row>
    <row r="203" spans="1:9" ht="17" x14ac:dyDescent="0.2">
      <c r="A203" s="3">
        <v>3</v>
      </c>
      <c r="B203" s="13" t="s">
        <v>5</v>
      </c>
      <c r="C203" s="13" t="s">
        <v>34</v>
      </c>
      <c r="E203" s="8">
        <v>30.4</v>
      </c>
      <c r="F203" s="8" t="s">
        <v>24</v>
      </c>
      <c r="G203" s="11">
        <v>46084</v>
      </c>
    </row>
    <row r="204" spans="1:9" ht="17" x14ac:dyDescent="0.2">
      <c r="A204" s="3">
        <v>4</v>
      </c>
      <c r="B204" s="13" t="s">
        <v>5</v>
      </c>
      <c r="C204" s="13" t="s">
        <v>34</v>
      </c>
      <c r="E204" s="8">
        <v>36.1</v>
      </c>
      <c r="F204" s="8" t="s">
        <v>24</v>
      </c>
      <c r="G204" s="11">
        <v>46084</v>
      </c>
    </row>
    <row r="205" spans="1:9" ht="17" x14ac:dyDescent="0.2">
      <c r="A205" s="3">
        <v>5</v>
      </c>
      <c r="B205" s="13" t="s">
        <v>5</v>
      </c>
      <c r="C205" s="13" t="s">
        <v>34</v>
      </c>
      <c r="E205" s="8">
        <v>28.3</v>
      </c>
      <c r="F205" s="8" t="s">
        <v>24</v>
      </c>
      <c r="G205" s="11">
        <v>46084</v>
      </c>
    </row>
    <row r="206" spans="1:9" ht="17" x14ac:dyDescent="0.2">
      <c r="A206" s="3">
        <v>6</v>
      </c>
      <c r="B206" s="13" t="s">
        <v>5</v>
      </c>
      <c r="C206" s="13" t="s">
        <v>34</v>
      </c>
      <c r="E206" s="8">
        <v>29.4</v>
      </c>
      <c r="F206" s="8" t="s">
        <v>24</v>
      </c>
      <c r="G206" s="11">
        <v>46084</v>
      </c>
    </row>
    <row r="207" spans="1:9" ht="17" x14ac:dyDescent="0.2">
      <c r="A207" s="3">
        <v>7</v>
      </c>
      <c r="B207" s="13" t="s">
        <v>5</v>
      </c>
      <c r="C207" s="13" t="s">
        <v>34</v>
      </c>
      <c r="E207" s="8">
        <v>28.9</v>
      </c>
      <c r="F207" s="8" t="s">
        <v>24</v>
      </c>
      <c r="G207" s="11">
        <v>46084</v>
      </c>
    </row>
    <row r="208" spans="1:9" ht="17" x14ac:dyDescent="0.2">
      <c r="A208" s="3">
        <v>8</v>
      </c>
      <c r="B208" s="13" t="s">
        <v>5</v>
      </c>
      <c r="C208" s="13" t="s">
        <v>34</v>
      </c>
      <c r="E208" s="8">
        <v>30.1</v>
      </c>
      <c r="F208" s="8" t="s">
        <v>24</v>
      </c>
      <c r="G208" s="11">
        <v>46084</v>
      </c>
    </row>
    <row r="209" spans="1:11" ht="17" x14ac:dyDescent="0.2">
      <c r="A209" s="3">
        <v>9</v>
      </c>
      <c r="B209" s="13" t="s">
        <v>5</v>
      </c>
      <c r="C209" s="13" t="s">
        <v>34</v>
      </c>
      <c r="E209" s="8">
        <v>31.2</v>
      </c>
      <c r="F209" s="8" t="s">
        <v>24</v>
      </c>
      <c r="G209" s="11">
        <v>46084</v>
      </c>
    </row>
    <row r="210" spans="1:11" ht="17" x14ac:dyDescent="0.2">
      <c r="A210" s="3">
        <v>10</v>
      </c>
      <c r="B210" s="13" t="s">
        <v>5</v>
      </c>
      <c r="C210" s="13" t="s">
        <v>34</v>
      </c>
      <c r="E210" s="8">
        <v>32.4</v>
      </c>
      <c r="F210" s="8" t="s">
        <v>24</v>
      </c>
      <c r="G210" s="11">
        <v>46084</v>
      </c>
      <c r="H210">
        <f>AVERAGE(E201:E210)</f>
        <v>30.6</v>
      </c>
      <c r="I210">
        <f>STDEV(E201:E210)</f>
        <v>2.2568414506414349</v>
      </c>
    </row>
    <row r="211" spans="1:11" ht="17" x14ac:dyDescent="0.2">
      <c r="A211" s="3">
        <v>1</v>
      </c>
      <c r="B211" s="13" t="s">
        <v>35</v>
      </c>
      <c r="C211" s="13" t="s">
        <v>22</v>
      </c>
      <c r="D211">
        <v>0.38</v>
      </c>
    </row>
    <row r="212" spans="1:11" ht="17" x14ac:dyDescent="0.2">
      <c r="A212" s="3">
        <v>2</v>
      </c>
      <c r="B212" s="13" t="s">
        <v>35</v>
      </c>
      <c r="C212" s="13" t="s">
        <v>22</v>
      </c>
      <c r="D212">
        <v>0.36</v>
      </c>
    </row>
    <row r="213" spans="1:11" ht="17" x14ac:dyDescent="0.2">
      <c r="A213" s="3">
        <v>3</v>
      </c>
      <c r="B213" s="13" t="s">
        <v>35</v>
      </c>
      <c r="C213" s="13" t="s">
        <v>22</v>
      </c>
      <c r="D213">
        <v>0.37</v>
      </c>
    </row>
    <row r="214" spans="1:11" ht="17" x14ac:dyDescent="0.2">
      <c r="A214" s="3">
        <v>4</v>
      </c>
      <c r="B214" s="13" t="s">
        <v>35</v>
      </c>
      <c r="C214" s="13" t="s">
        <v>22</v>
      </c>
      <c r="D214">
        <v>0.38</v>
      </c>
    </row>
    <row r="215" spans="1:11" ht="17" x14ac:dyDescent="0.2">
      <c r="A215" s="3">
        <v>5</v>
      </c>
      <c r="B215" s="13" t="s">
        <v>35</v>
      </c>
      <c r="C215" s="13" t="s">
        <v>22</v>
      </c>
      <c r="D215">
        <v>0.37</v>
      </c>
    </row>
    <row r="216" spans="1:11" ht="17" x14ac:dyDescent="0.2">
      <c r="A216" s="3">
        <v>6</v>
      </c>
      <c r="B216" s="13" t="s">
        <v>35</v>
      </c>
      <c r="C216" s="13" t="s">
        <v>22</v>
      </c>
      <c r="D216">
        <v>0.37</v>
      </c>
    </row>
    <row r="217" spans="1:11" ht="17" x14ac:dyDescent="0.2">
      <c r="A217" s="3">
        <v>7</v>
      </c>
      <c r="B217" s="13" t="s">
        <v>35</v>
      </c>
      <c r="C217" s="13" t="s">
        <v>22</v>
      </c>
      <c r="D217">
        <v>0.37</v>
      </c>
    </row>
    <row r="218" spans="1:11" ht="17" x14ac:dyDescent="0.2">
      <c r="A218" s="3">
        <v>8</v>
      </c>
      <c r="B218" s="13" t="s">
        <v>35</v>
      </c>
      <c r="C218" s="13" t="s">
        <v>22</v>
      </c>
      <c r="D218">
        <v>0.36</v>
      </c>
    </row>
    <row r="219" spans="1:11" ht="17" x14ac:dyDescent="0.2">
      <c r="A219" s="3">
        <v>9</v>
      </c>
      <c r="B219" s="13" t="s">
        <v>35</v>
      </c>
      <c r="C219" s="13" t="s">
        <v>22</v>
      </c>
      <c r="D219">
        <v>0.37</v>
      </c>
      <c r="J219">
        <f>AVERAGE(D211:D220)</f>
        <v>0.36899999999999999</v>
      </c>
      <c r="K219">
        <f>STDEV(D211:D220)</f>
        <v>7.3786478737262262E-3</v>
      </c>
    </row>
    <row r="220" spans="1:11" ht="17" x14ac:dyDescent="0.2">
      <c r="A220" s="3">
        <v>10</v>
      </c>
      <c r="B220" s="13" t="s">
        <v>35</v>
      </c>
      <c r="C220" s="13" t="s">
        <v>22</v>
      </c>
      <c r="D220">
        <v>0.36</v>
      </c>
    </row>
    <row r="221" spans="1:11" ht="17" x14ac:dyDescent="0.2">
      <c r="A221" s="3">
        <v>1</v>
      </c>
      <c r="B221" s="13" t="s">
        <v>36</v>
      </c>
      <c r="C221" s="13" t="s">
        <v>22</v>
      </c>
      <c r="D221">
        <v>0.4</v>
      </c>
    </row>
    <row r="222" spans="1:11" ht="17" x14ac:dyDescent="0.2">
      <c r="A222" s="3">
        <v>2</v>
      </c>
      <c r="B222" s="13" t="s">
        <v>36</v>
      </c>
      <c r="C222" s="13" t="s">
        <v>22</v>
      </c>
      <c r="D222">
        <v>0.41</v>
      </c>
    </row>
    <row r="223" spans="1:11" ht="17" x14ac:dyDescent="0.2">
      <c r="A223" s="3">
        <v>3</v>
      </c>
      <c r="B223" s="13" t="s">
        <v>36</v>
      </c>
      <c r="C223" s="13" t="s">
        <v>22</v>
      </c>
      <c r="D223">
        <v>0.4</v>
      </c>
    </row>
    <row r="224" spans="1:11" ht="17" x14ac:dyDescent="0.2">
      <c r="A224" s="3">
        <v>4</v>
      </c>
      <c r="B224" s="13" t="s">
        <v>36</v>
      </c>
      <c r="C224" s="13" t="s">
        <v>22</v>
      </c>
      <c r="D224">
        <v>0.41</v>
      </c>
    </row>
    <row r="225" spans="1:11" ht="17" x14ac:dyDescent="0.2">
      <c r="A225" s="3">
        <v>5</v>
      </c>
      <c r="B225" s="13" t="s">
        <v>36</v>
      </c>
      <c r="C225" s="13" t="s">
        <v>22</v>
      </c>
      <c r="D225">
        <v>0.41</v>
      </c>
    </row>
    <row r="226" spans="1:11" ht="17" x14ac:dyDescent="0.2">
      <c r="A226" s="3">
        <v>6</v>
      </c>
      <c r="B226" s="13" t="s">
        <v>36</v>
      </c>
      <c r="C226" s="13" t="s">
        <v>22</v>
      </c>
      <c r="D226">
        <v>0.4</v>
      </c>
    </row>
    <row r="227" spans="1:11" ht="17" x14ac:dyDescent="0.2">
      <c r="A227" s="3">
        <v>7</v>
      </c>
      <c r="B227" s="13" t="s">
        <v>36</v>
      </c>
      <c r="C227" s="13" t="s">
        <v>22</v>
      </c>
      <c r="D227">
        <v>0.41</v>
      </c>
    </row>
    <row r="228" spans="1:11" ht="17" x14ac:dyDescent="0.2">
      <c r="A228" s="3">
        <v>8</v>
      </c>
      <c r="B228" s="13" t="s">
        <v>36</v>
      </c>
      <c r="C228" s="13" t="s">
        <v>22</v>
      </c>
      <c r="D228">
        <v>0.4</v>
      </c>
    </row>
    <row r="229" spans="1:11" ht="17" x14ac:dyDescent="0.2">
      <c r="A229" s="3">
        <v>9</v>
      </c>
      <c r="B229" s="13" t="s">
        <v>36</v>
      </c>
      <c r="C229" s="13" t="s">
        <v>22</v>
      </c>
      <c r="D229">
        <v>0.4</v>
      </c>
    </row>
    <row r="230" spans="1:11" ht="17" x14ac:dyDescent="0.2">
      <c r="A230" s="3">
        <v>10</v>
      </c>
      <c r="B230" s="13" t="s">
        <v>36</v>
      </c>
      <c r="C230" s="13" t="s">
        <v>22</v>
      </c>
      <c r="D230">
        <v>0.42</v>
      </c>
      <c r="J230">
        <f>AVERAGE(D221:D230)</f>
        <v>0.40599999999999997</v>
      </c>
      <c r="K230">
        <f>STDEV(D221:D230)</f>
        <v>6.9920589878009901E-3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D6D7-AB16-BB40-8B6E-52EC048B93A9}">
  <dimension ref="B6:T73"/>
  <sheetViews>
    <sheetView workbookViewId="0">
      <selection activeCell="N28" sqref="N28"/>
    </sheetView>
  </sheetViews>
  <sheetFormatPr baseColWidth="10" defaultRowHeight="16" x14ac:dyDescent="0.2"/>
  <cols>
    <col min="2" max="2" width="22.6640625" customWidth="1"/>
  </cols>
  <sheetData>
    <row r="6" spans="2:4" x14ac:dyDescent="0.2">
      <c r="B6" s="10" t="s">
        <v>6</v>
      </c>
      <c r="C6" s="8">
        <v>60.27</v>
      </c>
      <c r="D6" s="8">
        <v>2.5599696178752671</v>
      </c>
    </row>
    <row r="7" spans="2:4" x14ac:dyDescent="0.2">
      <c r="B7" s="10" t="s">
        <v>25</v>
      </c>
      <c r="C7" s="8">
        <v>51.83</v>
      </c>
      <c r="D7" s="12">
        <v>4.2166468999999998</v>
      </c>
    </row>
    <row r="8" spans="2:4" x14ac:dyDescent="0.2">
      <c r="B8" s="10" t="s">
        <v>28</v>
      </c>
      <c r="C8" s="8">
        <v>52.66</v>
      </c>
      <c r="D8" s="12">
        <v>1.1177358100000001</v>
      </c>
    </row>
    <row r="9" spans="2:4" x14ac:dyDescent="0.2">
      <c r="B9" s="10" t="s">
        <v>19</v>
      </c>
      <c r="C9" s="8">
        <v>57.64</v>
      </c>
      <c r="D9" s="12">
        <v>2.1624060699999998</v>
      </c>
    </row>
    <row r="10" spans="2:4" x14ac:dyDescent="0.2">
      <c r="B10" s="10" t="s">
        <v>29</v>
      </c>
      <c r="C10" s="8">
        <v>55.28</v>
      </c>
      <c r="D10" s="12">
        <v>1.5331884</v>
      </c>
    </row>
    <row r="11" spans="2:4" x14ac:dyDescent="0.2">
      <c r="B11" s="10" t="s">
        <v>20</v>
      </c>
      <c r="C11" s="8">
        <v>59.1</v>
      </c>
      <c r="D11" s="12">
        <v>2.5077657200000001</v>
      </c>
    </row>
    <row r="12" spans="2:4" x14ac:dyDescent="0.2">
      <c r="B12" s="10" t="s">
        <v>32</v>
      </c>
      <c r="C12" s="8">
        <v>61.61999999999999</v>
      </c>
      <c r="D12" s="8">
        <v>2.6067433918802054</v>
      </c>
    </row>
    <row r="13" spans="2:4" x14ac:dyDescent="0.2">
      <c r="B13" s="10" t="s">
        <v>33</v>
      </c>
      <c r="C13" s="12">
        <v>68.819999999999993</v>
      </c>
      <c r="D13" s="8">
        <v>3.5238236807952448</v>
      </c>
    </row>
    <row r="16" spans="2:4" x14ac:dyDescent="0.2">
      <c r="B16" s="10" t="s">
        <v>6</v>
      </c>
      <c r="C16" s="8">
        <v>30.76</v>
      </c>
      <c r="D16" s="12">
        <v>1.7846257000000001</v>
      </c>
    </row>
    <row r="17" spans="2:4" x14ac:dyDescent="0.2">
      <c r="B17" s="10" t="s">
        <v>25</v>
      </c>
      <c r="C17" s="8">
        <v>22.759999999999998</v>
      </c>
      <c r="D17" s="8">
        <v>1.9015782918407542</v>
      </c>
    </row>
    <row r="18" spans="2:4" x14ac:dyDescent="0.2">
      <c r="B18" s="10" t="s">
        <v>28</v>
      </c>
      <c r="C18" s="8">
        <v>28.66</v>
      </c>
      <c r="D18" s="12">
        <v>1.5910862800000001</v>
      </c>
    </row>
    <row r="19" spans="2:4" x14ac:dyDescent="0.2">
      <c r="B19" s="10" t="s">
        <v>19</v>
      </c>
      <c r="C19" s="8">
        <v>28.22</v>
      </c>
      <c r="D19" s="12">
        <v>0.51180508000000002</v>
      </c>
    </row>
    <row r="20" spans="2:4" x14ac:dyDescent="0.2">
      <c r="B20" s="10" t="s">
        <v>29</v>
      </c>
      <c r="C20" s="8">
        <v>29.28</v>
      </c>
      <c r="D20" s="12">
        <v>1.25576449</v>
      </c>
    </row>
    <row r="21" spans="2:4" x14ac:dyDescent="0.2">
      <c r="B21" s="10" t="s">
        <v>20</v>
      </c>
      <c r="C21" s="8">
        <v>28.43</v>
      </c>
      <c r="D21" s="12">
        <v>1.1832629100000001</v>
      </c>
    </row>
    <row r="22" spans="2:4" x14ac:dyDescent="0.2">
      <c r="B22" s="10" t="s">
        <v>32</v>
      </c>
      <c r="C22">
        <v>28.140000000000004</v>
      </c>
      <c r="D22">
        <v>1.6939106627367733</v>
      </c>
    </row>
    <row r="23" spans="2:4" x14ac:dyDescent="0.2">
      <c r="B23" s="10" t="s">
        <v>33</v>
      </c>
      <c r="C23">
        <v>33.83</v>
      </c>
      <c r="D23">
        <v>0.93932599949822138</v>
      </c>
    </row>
    <row r="26" spans="2:4" x14ac:dyDescent="0.2">
      <c r="B26" s="10" t="s">
        <v>7</v>
      </c>
      <c r="C26">
        <v>27.229999999999997</v>
      </c>
      <c r="D26">
        <v>1.2256970805763279</v>
      </c>
    </row>
    <row r="27" spans="2:4" x14ac:dyDescent="0.2">
      <c r="B27" s="10" t="s">
        <v>16</v>
      </c>
      <c r="C27">
        <v>56.970000000000013</v>
      </c>
      <c r="D27">
        <v>5.892377373447081</v>
      </c>
    </row>
    <row r="29" spans="2:4" x14ac:dyDescent="0.2">
      <c r="C29">
        <v>26.200000000000003</v>
      </c>
    </row>
    <row r="30" spans="2:4" x14ac:dyDescent="0.2">
      <c r="C30">
        <v>52.1</v>
      </c>
    </row>
    <row r="64" spans="19:20" x14ac:dyDescent="0.2">
      <c r="S64">
        <v>52.4</v>
      </c>
      <c r="T64">
        <v>30.1</v>
      </c>
    </row>
    <row r="65" spans="19:20" x14ac:dyDescent="0.2">
      <c r="S65">
        <v>49.1</v>
      </c>
      <c r="T65">
        <v>27.5</v>
      </c>
    </row>
    <row r="66" spans="19:20" x14ac:dyDescent="0.2">
      <c r="S66">
        <v>53.5</v>
      </c>
      <c r="T66">
        <v>29.7</v>
      </c>
    </row>
    <row r="67" spans="19:20" x14ac:dyDescent="0.2">
      <c r="S67">
        <v>51.3</v>
      </c>
      <c r="T67">
        <v>30.8</v>
      </c>
    </row>
    <row r="68" spans="19:20" x14ac:dyDescent="0.2">
      <c r="S68">
        <v>51.7</v>
      </c>
      <c r="T68">
        <v>30.7</v>
      </c>
    </row>
    <row r="69" spans="19:20" x14ac:dyDescent="0.2">
      <c r="S69">
        <f>AVERAGE(S64:S68)</f>
        <v>51.6</v>
      </c>
      <c r="T69">
        <f>AVERAGE(T64:T68)</f>
        <v>29.759999999999998</v>
      </c>
    </row>
    <row r="70" spans="19:20" x14ac:dyDescent="0.2">
      <c r="S70">
        <f>STDEV(S64:S68)</f>
        <v>1.6278820596099701</v>
      </c>
      <c r="T70">
        <f>STDEV(T64:T68)</f>
        <v>1.3408952233489386</v>
      </c>
    </row>
    <row r="73" spans="19:20" x14ac:dyDescent="0.2">
      <c r="S73">
        <f>(S69/T69)</f>
        <v>1.7338709677419357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New Data</vt:lpstr>
      <vt:lpstr>Chart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2026-01-22T22:24:59Z</dcterms:created>
  <dcterms:modified xsi:type="dcterms:W3CDTF">2026-04-28T14:44:58Z</dcterms:modified>
</cp:coreProperties>
</file>