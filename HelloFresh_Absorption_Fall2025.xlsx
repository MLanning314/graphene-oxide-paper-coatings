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stn424_ads_northwestern_edu/Documents/Collaborations/Proposals/GO-Barrier, TFMI Proposals with Tim Wei/URAP_2023-10/Shared/Lanning, Mackenzie/Absorption Data/Fall 2025/"/>
    </mc:Choice>
  </mc:AlternateContent>
  <xr:revisionPtr revIDLastSave="1712" documentId="13_ncr:1_{F2E763B4-4DB6-894B-B240-8188D6068E1F}" xr6:coauthVersionLast="47" xr6:coauthVersionMax="47" xr10:uidLastSave="{B8CEF8C6-F78E-8742-AFFB-1CA691E0992F}"/>
  <bookViews>
    <workbookView xWindow="0" yWindow="740" windowWidth="29400" windowHeight="17180" activeTab="5" xr2:uid="{304DC28A-0BB6-064B-B35E-217EA1A1C90F}"/>
  </bookViews>
  <sheets>
    <sheet name="Crayola Method" sheetId="1" r:id="rId1"/>
    <sheet name="Boat Method" sheetId="2" r:id="rId2"/>
    <sheet name="Boat Method (Retest)" sheetId="4" r:id="rId3"/>
    <sheet name="Metsä EB" sheetId="3" r:id="rId4"/>
    <sheet name="Formatting for R" sheetId="5" r:id="rId5"/>
    <sheet name="Figures for 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4" i="4" l="1"/>
  <c r="C143" i="4"/>
  <c r="E120" i="1"/>
  <c r="E95" i="1"/>
  <c r="E100" i="1"/>
  <c r="J100" i="1"/>
  <c r="I136" i="4"/>
  <c r="I132" i="4"/>
  <c r="Q148" i="4"/>
  <c r="Q147" i="4"/>
  <c r="Q146" i="4"/>
  <c r="Q145" i="4"/>
  <c r="Q144" i="4"/>
  <c r="Q143" i="4"/>
  <c r="Q142" i="4"/>
  <c r="P148" i="4"/>
  <c r="P147" i="4"/>
  <c r="P146" i="4"/>
  <c r="P145" i="4"/>
  <c r="P144" i="4"/>
  <c r="P143" i="4"/>
  <c r="P142" i="4"/>
  <c r="O148" i="4"/>
  <c r="O147" i="4"/>
  <c r="O146" i="4"/>
  <c r="O145" i="4"/>
  <c r="O144" i="4"/>
  <c r="O143" i="4"/>
  <c r="O142" i="4"/>
  <c r="M148" i="4"/>
  <c r="M147" i="4"/>
  <c r="M146" i="4"/>
  <c r="M145" i="4"/>
  <c r="M144" i="4"/>
  <c r="M143" i="4"/>
  <c r="M142" i="4"/>
  <c r="L148" i="4"/>
  <c r="L147" i="4"/>
  <c r="L146" i="4"/>
  <c r="L145" i="4"/>
  <c r="L144" i="4"/>
  <c r="L143" i="4"/>
  <c r="L142" i="4"/>
  <c r="K148" i="4"/>
  <c r="K147" i="4"/>
  <c r="K146" i="4"/>
  <c r="K145" i="4"/>
  <c r="K144" i="4"/>
  <c r="K143" i="4"/>
  <c r="K142" i="4"/>
  <c r="J148" i="4"/>
  <c r="J147" i="4"/>
  <c r="J146" i="4"/>
  <c r="J145" i="4"/>
  <c r="J144" i="4"/>
  <c r="J143" i="4"/>
  <c r="J142" i="4"/>
  <c r="I148" i="4"/>
  <c r="I147" i="4"/>
  <c r="I146" i="4"/>
  <c r="I145" i="4"/>
  <c r="I143" i="4"/>
  <c r="I142" i="4"/>
  <c r="R136" i="4"/>
  <c r="R135" i="4"/>
  <c r="R134" i="4"/>
  <c r="R133" i="4"/>
  <c r="R132" i="4"/>
  <c r="R131" i="4"/>
  <c r="R130" i="4"/>
  <c r="Q136" i="4"/>
  <c r="Q135" i="4"/>
  <c r="Q134" i="4"/>
  <c r="Q133" i="4"/>
  <c r="Q132" i="4"/>
  <c r="Q131" i="4"/>
  <c r="Q130" i="4"/>
  <c r="P136" i="4"/>
  <c r="P135" i="4"/>
  <c r="P134" i="4"/>
  <c r="P133" i="4"/>
  <c r="P132" i="4"/>
  <c r="P131" i="4"/>
  <c r="P130" i="4"/>
  <c r="O136" i="4"/>
  <c r="O135" i="4"/>
  <c r="O134" i="4"/>
  <c r="O133" i="4"/>
  <c r="O132" i="4"/>
  <c r="O131" i="4"/>
  <c r="O130" i="4"/>
  <c r="M136" i="4"/>
  <c r="M135" i="4"/>
  <c r="M134" i="4"/>
  <c r="M133" i="4"/>
  <c r="M132" i="4"/>
  <c r="M131" i="4"/>
  <c r="M130" i="4"/>
  <c r="L136" i="4"/>
  <c r="L135" i="4"/>
  <c r="L134" i="4"/>
  <c r="L133" i="4"/>
  <c r="L132" i="4"/>
  <c r="L131" i="4"/>
  <c r="L130" i="4"/>
  <c r="K136" i="4"/>
  <c r="K135" i="4"/>
  <c r="K134" i="4"/>
  <c r="K133" i="4"/>
  <c r="K132" i="4"/>
  <c r="K131" i="4"/>
  <c r="K130" i="4"/>
  <c r="J136" i="4"/>
  <c r="J135" i="4"/>
  <c r="J134" i="4"/>
  <c r="J133" i="4"/>
  <c r="J132" i="4"/>
  <c r="J131" i="4"/>
  <c r="J130" i="4"/>
  <c r="I135" i="4"/>
  <c r="I134" i="4"/>
  <c r="I133" i="4"/>
  <c r="I131" i="4"/>
  <c r="I130" i="4"/>
  <c r="Q124" i="4"/>
  <c r="Q123" i="4"/>
  <c r="Q122" i="4"/>
  <c r="Q121" i="4"/>
  <c r="Q120" i="4"/>
  <c r="Q119" i="4"/>
  <c r="Q118" i="4"/>
  <c r="P124" i="4"/>
  <c r="P123" i="4"/>
  <c r="P122" i="4"/>
  <c r="P121" i="4"/>
  <c r="P120" i="4"/>
  <c r="P119" i="4"/>
  <c r="P118" i="4"/>
  <c r="O124" i="4"/>
  <c r="O123" i="4"/>
  <c r="O122" i="4"/>
  <c r="O121" i="4"/>
  <c r="O120" i="4"/>
  <c r="O119" i="4"/>
  <c r="O118" i="4"/>
  <c r="M124" i="4"/>
  <c r="M123" i="4"/>
  <c r="M122" i="4"/>
  <c r="M121" i="4"/>
  <c r="M120" i="4"/>
  <c r="M119" i="4"/>
  <c r="M118" i="4"/>
  <c r="L124" i="4"/>
  <c r="L123" i="4"/>
  <c r="L122" i="4"/>
  <c r="L121" i="4"/>
  <c r="L120" i="4"/>
  <c r="L119" i="4"/>
  <c r="L118" i="4"/>
  <c r="K124" i="4"/>
  <c r="K123" i="4"/>
  <c r="K122" i="4"/>
  <c r="K121" i="4"/>
  <c r="K120" i="4"/>
  <c r="K119" i="4"/>
  <c r="K118" i="4"/>
  <c r="J124" i="4"/>
  <c r="J123" i="4"/>
  <c r="J122" i="4"/>
  <c r="J121" i="4"/>
  <c r="J120" i="4"/>
  <c r="J119" i="4"/>
  <c r="J118" i="4"/>
  <c r="I124" i="4"/>
  <c r="I123" i="4"/>
  <c r="I122" i="4"/>
  <c r="I121" i="4"/>
  <c r="I120" i="4"/>
  <c r="I119" i="4"/>
  <c r="I118" i="4"/>
  <c r="Q112" i="4"/>
  <c r="Q111" i="4"/>
  <c r="Q110" i="4"/>
  <c r="Q109" i="4"/>
  <c r="Q108" i="4"/>
  <c r="Q107" i="4"/>
  <c r="Q106" i="4"/>
  <c r="P112" i="4"/>
  <c r="P111" i="4"/>
  <c r="P110" i="4"/>
  <c r="P109" i="4"/>
  <c r="P108" i="4"/>
  <c r="P107" i="4"/>
  <c r="P106" i="4"/>
  <c r="O112" i="4"/>
  <c r="O111" i="4"/>
  <c r="O110" i="4"/>
  <c r="O109" i="4"/>
  <c r="O108" i="4"/>
  <c r="O107" i="4"/>
  <c r="O106" i="4"/>
  <c r="M112" i="4"/>
  <c r="M111" i="4"/>
  <c r="M110" i="4"/>
  <c r="M109" i="4"/>
  <c r="M108" i="4"/>
  <c r="M107" i="4"/>
  <c r="M106" i="4"/>
  <c r="L112" i="4"/>
  <c r="L111" i="4"/>
  <c r="L110" i="4"/>
  <c r="L109" i="4"/>
  <c r="L108" i="4"/>
  <c r="L107" i="4"/>
  <c r="L106" i="4"/>
  <c r="K112" i="4"/>
  <c r="K111" i="4"/>
  <c r="K110" i="4"/>
  <c r="K109" i="4"/>
  <c r="K108" i="4"/>
  <c r="K107" i="4"/>
  <c r="K106" i="4"/>
  <c r="J112" i="4"/>
  <c r="J111" i="4"/>
  <c r="J110" i="4"/>
  <c r="J109" i="4"/>
  <c r="J108" i="4"/>
  <c r="J107" i="4"/>
  <c r="J106" i="4"/>
  <c r="I112" i="4"/>
  <c r="I111" i="4"/>
  <c r="I110" i="4"/>
  <c r="I109" i="4"/>
  <c r="I108" i="4"/>
  <c r="I107" i="4"/>
  <c r="I106" i="4"/>
  <c r="I95" i="4"/>
  <c r="I94" i="4"/>
  <c r="I93" i="4"/>
  <c r="I92" i="4"/>
  <c r="I91" i="4"/>
  <c r="I89" i="4"/>
  <c r="I88" i="4"/>
  <c r="I87" i="4"/>
  <c r="I86" i="4"/>
  <c r="I85" i="4"/>
  <c r="I83" i="4"/>
  <c r="I82" i="4"/>
  <c r="I81" i="4"/>
  <c r="I80" i="4"/>
  <c r="I79" i="4"/>
  <c r="I77" i="4"/>
  <c r="I76" i="4"/>
  <c r="I75" i="4"/>
  <c r="I74" i="4"/>
  <c r="I73" i="4"/>
  <c r="I71" i="4"/>
  <c r="I70" i="4"/>
  <c r="I69" i="4"/>
  <c r="I68" i="4"/>
  <c r="I67" i="4"/>
  <c r="I65" i="4"/>
  <c r="I64" i="4"/>
  <c r="I63" i="4"/>
  <c r="I62" i="4"/>
  <c r="I61" i="4"/>
  <c r="I59" i="4"/>
  <c r="I58" i="4"/>
  <c r="I57" i="4"/>
  <c r="I56" i="4"/>
  <c r="I55" i="4"/>
  <c r="R95" i="4"/>
  <c r="R94" i="4"/>
  <c r="R93" i="4"/>
  <c r="R92" i="4"/>
  <c r="R91" i="4"/>
  <c r="R89" i="4"/>
  <c r="R88" i="4"/>
  <c r="R87" i="4"/>
  <c r="R86" i="4"/>
  <c r="R85" i="4"/>
  <c r="R83" i="4"/>
  <c r="R82" i="4"/>
  <c r="R81" i="4"/>
  <c r="R80" i="4"/>
  <c r="R79" i="4"/>
  <c r="R77" i="4"/>
  <c r="R76" i="4"/>
  <c r="R75" i="4"/>
  <c r="R74" i="4"/>
  <c r="R73" i="4"/>
  <c r="R71" i="4"/>
  <c r="R70" i="4"/>
  <c r="R69" i="4"/>
  <c r="R68" i="4"/>
  <c r="R67" i="4"/>
  <c r="R65" i="4"/>
  <c r="R64" i="4"/>
  <c r="R63" i="4"/>
  <c r="R62" i="4"/>
  <c r="R61" i="4"/>
  <c r="R59" i="4"/>
  <c r="R58" i="4"/>
  <c r="R57" i="4"/>
  <c r="R56" i="4"/>
  <c r="R55" i="4"/>
  <c r="Q95" i="4"/>
  <c r="Q94" i="4"/>
  <c r="Q93" i="4"/>
  <c r="Q92" i="4"/>
  <c r="Q91" i="4"/>
  <c r="Q89" i="4"/>
  <c r="Q88" i="4"/>
  <c r="Q87" i="4"/>
  <c r="Q86" i="4"/>
  <c r="Q85" i="4"/>
  <c r="Q83" i="4"/>
  <c r="Q82" i="4"/>
  <c r="Q81" i="4"/>
  <c r="Q80" i="4"/>
  <c r="Q79" i="4"/>
  <c r="Q77" i="4"/>
  <c r="Q76" i="4"/>
  <c r="Q75" i="4"/>
  <c r="Q74" i="4"/>
  <c r="Q73" i="4"/>
  <c r="Q71" i="4"/>
  <c r="Q70" i="4"/>
  <c r="Q69" i="4"/>
  <c r="Q68" i="4"/>
  <c r="Q67" i="4"/>
  <c r="Q65" i="4"/>
  <c r="Q64" i="4"/>
  <c r="Q63" i="4"/>
  <c r="Q62" i="4"/>
  <c r="Q61" i="4"/>
  <c r="Q59" i="4"/>
  <c r="Q58" i="4"/>
  <c r="Q57" i="4"/>
  <c r="Q56" i="4"/>
  <c r="Q55" i="4"/>
  <c r="P95" i="4"/>
  <c r="P94" i="4"/>
  <c r="P93" i="4"/>
  <c r="P92" i="4"/>
  <c r="P91" i="4"/>
  <c r="P89" i="4"/>
  <c r="P88" i="4"/>
  <c r="P87" i="4"/>
  <c r="P86" i="4"/>
  <c r="P85" i="4"/>
  <c r="P83" i="4"/>
  <c r="P82" i="4"/>
  <c r="P81" i="4"/>
  <c r="P80" i="4"/>
  <c r="P79" i="4"/>
  <c r="P77" i="4"/>
  <c r="P76" i="4"/>
  <c r="P75" i="4"/>
  <c r="P74" i="4"/>
  <c r="P73" i="4"/>
  <c r="P71" i="4"/>
  <c r="P70" i="4"/>
  <c r="P69" i="4"/>
  <c r="P68" i="4"/>
  <c r="P67" i="4"/>
  <c r="P65" i="4"/>
  <c r="P64" i="4"/>
  <c r="P63" i="4"/>
  <c r="P62" i="4"/>
  <c r="P61" i="4"/>
  <c r="P59" i="4"/>
  <c r="P58" i="4"/>
  <c r="P57" i="4"/>
  <c r="P56" i="4"/>
  <c r="P55" i="4"/>
  <c r="O95" i="4"/>
  <c r="O94" i="4"/>
  <c r="O93" i="4"/>
  <c r="O92" i="4"/>
  <c r="O91" i="4"/>
  <c r="O89" i="4"/>
  <c r="O88" i="4"/>
  <c r="O87" i="4"/>
  <c r="O86" i="4"/>
  <c r="O85" i="4"/>
  <c r="O83" i="4"/>
  <c r="O82" i="4"/>
  <c r="O81" i="4"/>
  <c r="O80" i="4"/>
  <c r="O79" i="4"/>
  <c r="O77" i="4"/>
  <c r="O76" i="4"/>
  <c r="O75" i="4"/>
  <c r="O74" i="4"/>
  <c r="O73" i="4"/>
  <c r="O71" i="4"/>
  <c r="O70" i="4"/>
  <c r="O69" i="4"/>
  <c r="O68" i="4"/>
  <c r="O67" i="4"/>
  <c r="O65" i="4"/>
  <c r="O64" i="4"/>
  <c r="O63" i="4"/>
  <c r="O62" i="4"/>
  <c r="O61" i="4"/>
  <c r="O59" i="4"/>
  <c r="O58" i="4"/>
  <c r="O57" i="4"/>
  <c r="O56" i="4"/>
  <c r="O55" i="4"/>
  <c r="M95" i="4"/>
  <c r="M94" i="4"/>
  <c r="M93" i="4"/>
  <c r="M92" i="4"/>
  <c r="M91" i="4"/>
  <c r="M89" i="4"/>
  <c r="M88" i="4"/>
  <c r="M87" i="4"/>
  <c r="M86" i="4"/>
  <c r="M85" i="4"/>
  <c r="M83" i="4"/>
  <c r="M82" i="4"/>
  <c r="M81" i="4"/>
  <c r="M80" i="4"/>
  <c r="M79" i="4"/>
  <c r="M77" i="4"/>
  <c r="M76" i="4"/>
  <c r="M75" i="4"/>
  <c r="M74" i="4"/>
  <c r="M73" i="4"/>
  <c r="M71" i="4"/>
  <c r="M70" i="4"/>
  <c r="M69" i="4"/>
  <c r="M68" i="4"/>
  <c r="M67" i="4"/>
  <c r="M65" i="4"/>
  <c r="M64" i="4"/>
  <c r="M63" i="4"/>
  <c r="M62" i="4"/>
  <c r="M61" i="4"/>
  <c r="M59" i="4"/>
  <c r="M58" i="4"/>
  <c r="M57" i="4"/>
  <c r="M56" i="4"/>
  <c r="M55" i="4"/>
  <c r="L95" i="4"/>
  <c r="L94" i="4"/>
  <c r="L93" i="4"/>
  <c r="L92" i="4"/>
  <c r="L91" i="4"/>
  <c r="L89" i="4"/>
  <c r="L88" i="4"/>
  <c r="L87" i="4"/>
  <c r="L86" i="4"/>
  <c r="L85" i="4"/>
  <c r="L83" i="4"/>
  <c r="L82" i="4"/>
  <c r="L81" i="4"/>
  <c r="L80" i="4"/>
  <c r="L79" i="4"/>
  <c r="L77" i="4"/>
  <c r="L76" i="4"/>
  <c r="L75" i="4"/>
  <c r="L74" i="4"/>
  <c r="L73" i="4"/>
  <c r="L71" i="4"/>
  <c r="L70" i="4"/>
  <c r="L69" i="4"/>
  <c r="L68" i="4"/>
  <c r="L67" i="4"/>
  <c r="L65" i="4"/>
  <c r="L64" i="4"/>
  <c r="L63" i="4"/>
  <c r="L62" i="4"/>
  <c r="L61" i="4"/>
  <c r="L59" i="4"/>
  <c r="L58" i="4"/>
  <c r="L57" i="4"/>
  <c r="L56" i="4"/>
  <c r="L55" i="4"/>
  <c r="K95" i="4"/>
  <c r="K94" i="4"/>
  <c r="K93" i="4"/>
  <c r="K92" i="4"/>
  <c r="K91" i="4"/>
  <c r="K89" i="4"/>
  <c r="K88" i="4"/>
  <c r="K87" i="4"/>
  <c r="K86" i="4"/>
  <c r="K85" i="4"/>
  <c r="K83" i="4"/>
  <c r="K82" i="4"/>
  <c r="K81" i="4"/>
  <c r="K80" i="4"/>
  <c r="K79" i="4"/>
  <c r="K77" i="4"/>
  <c r="K76" i="4"/>
  <c r="K75" i="4"/>
  <c r="K74" i="4"/>
  <c r="K73" i="4"/>
  <c r="K71" i="4"/>
  <c r="K70" i="4"/>
  <c r="K69" i="4"/>
  <c r="K68" i="4"/>
  <c r="K67" i="4"/>
  <c r="K65" i="4"/>
  <c r="K64" i="4"/>
  <c r="K63" i="4"/>
  <c r="K62" i="4"/>
  <c r="K61" i="4"/>
  <c r="K59" i="4"/>
  <c r="K58" i="4"/>
  <c r="K57" i="4"/>
  <c r="K56" i="4"/>
  <c r="K55" i="4"/>
  <c r="J95" i="4"/>
  <c r="J94" i="4"/>
  <c r="J93" i="4"/>
  <c r="J92" i="4"/>
  <c r="J91" i="4"/>
  <c r="J89" i="4"/>
  <c r="J88" i="4"/>
  <c r="J87" i="4"/>
  <c r="J86" i="4"/>
  <c r="J85" i="4"/>
  <c r="J83" i="4"/>
  <c r="J82" i="4"/>
  <c r="J81" i="4"/>
  <c r="J80" i="4"/>
  <c r="J79" i="4"/>
  <c r="J77" i="4"/>
  <c r="J76" i="4"/>
  <c r="J75" i="4"/>
  <c r="J74" i="4"/>
  <c r="J73" i="4"/>
  <c r="J71" i="4"/>
  <c r="J70" i="4"/>
  <c r="J69" i="4"/>
  <c r="J68" i="4"/>
  <c r="J67" i="4"/>
  <c r="J65" i="4"/>
  <c r="J64" i="4"/>
  <c r="J63" i="4"/>
  <c r="J62" i="4"/>
  <c r="J61" i="4"/>
  <c r="J59" i="4"/>
  <c r="J58" i="4"/>
  <c r="J57" i="4"/>
  <c r="J56" i="4"/>
  <c r="J55" i="4"/>
  <c r="R148" i="4"/>
  <c r="R122" i="4"/>
  <c r="R109" i="4"/>
  <c r="R108" i="4"/>
  <c r="R107" i="4"/>
  <c r="R106" i="4"/>
  <c r="J57" i="1"/>
  <c r="R14" i="1"/>
  <c r="Q14" i="1"/>
  <c r="R13" i="1"/>
  <c r="Q13" i="1"/>
  <c r="R12" i="1"/>
  <c r="Q12" i="1"/>
  <c r="R11" i="1"/>
  <c r="Q11" i="1"/>
  <c r="G148" i="4"/>
  <c r="G147" i="4"/>
  <c r="G146" i="4"/>
  <c r="G145" i="4"/>
  <c r="G144" i="4"/>
  <c r="G143" i="4"/>
  <c r="G142" i="4"/>
  <c r="F148" i="4"/>
  <c r="F147" i="4"/>
  <c r="F146" i="4"/>
  <c r="F145" i="4"/>
  <c r="F144" i="4"/>
  <c r="F143" i="4"/>
  <c r="F142" i="4"/>
  <c r="G136" i="4"/>
  <c r="G135" i="4"/>
  <c r="G134" i="4"/>
  <c r="G133" i="4"/>
  <c r="G132" i="4"/>
  <c r="G131" i="4"/>
  <c r="G130" i="4"/>
  <c r="F136" i="4"/>
  <c r="F135" i="4"/>
  <c r="F134" i="4"/>
  <c r="F133" i="4"/>
  <c r="F132" i="4"/>
  <c r="F131" i="4"/>
  <c r="F130" i="4"/>
  <c r="G95" i="4"/>
  <c r="G94" i="4"/>
  <c r="G93" i="4"/>
  <c r="G92" i="4"/>
  <c r="G91" i="4"/>
  <c r="G89" i="4"/>
  <c r="G88" i="4"/>
  <c r="G87" i="4"/>
  <c r="G86" i="4"/>
  <c r="G85" i="4"/>
  <c r="G83" i="4"/>
  <c r="G82" i="4"/>
  <c r="G81" i="4"/>
  <c r="G80" i="4"/>
  <c r="G79" i="4"/>
  <c r="G77" i="4"/>
  <c r="G76" i="4"/>
  <c r="G75" i="4"/>
  <c r="G74" i="4"/>
  <c r="G73" i="4"/>
  <c r="G121" i="4" s="1"/>
  <c r="G71" i="4"/>
  <c r="G70" i="4"/>
  <c r="G69" i="4"/>
  <c r="G68" i="4"/>
  <c r="G67" i="4"/>
  <c r="G65" i="4"/>
  <c r="G64" i="4"/>
  <c r="G63" i="4"/>
  <c r="G62" i="4"/>
  <c r="G61" i="4"/>
  <c r="G59" i="4"/>
  <c r="G58" i="4"/>
  <c r="G57" i="4"/>
  <c r="G56" i="4"/>
  <c r="G55" i="4"/>
  <c r="F95" i="4"/>
  <c r="F94" i="4"/>
  <c r="F93" i="4"/>
  <c r="F92" i="4"/>
  <c r="F91" i="4"/>
  <c r="F89" i="4"/>
  <c r="F88" i="4"/>
  <c r="F87" i="4"/>
  <c r="F86" i="4"/>
  <c r="F85" i="4"/>
  <c r="F83" i="4"/>
  <c r="F82" i="4"/>
  <c r="F81" i="4"/>
  <c r="F80" i="4"/>
  <c r="F79" i="4"/>
  <c r="F77" i="4"/>
  <c r="F76" i="4"/>
  <c r="F75" i="4"/>
  <c r="F74" i="4"/>
  <c r="F73" i="4"/>
  <c r="F71" i="4"/>
  <c r="F70" i="4"/>
  <c r="F69" i="4"/>
  <c r="F68" i="4"/>
  <c r="F67" i="4"/>
  <c r="F65" i="4"/>
  <c r="F64" i="4"/>
  <c r="F63" i="4"/>
  <c r="F62" i="4"/>
  <c r="F61" i="4"/>
  <c r="F59" i="4"/>
  <c r="F58" i="4"/>
  <c r="F57" i="4"/>
  <c r="F56" i="4"/>
  <c r="F55" i="4"/>
  <c r="E95" i="4"/>
  <c r="D95" i="4"/>
  <c r="C95" i="4"/>
  <c r="E94" i="4"/>
  <c r="D94" i="4"/>
  <c r="C94" i="4"/>
  <c r="E93" i="4"/>
  <c r="D93" i="4"/>
  <c r="C93" i="4"/>
  <c r="E92" i="4"/>
  <c r="D92" i="4"/>
  <c r="C92" i="4"/>
  <c r="E91" i="4"/>
  <c r="D91" i="4"/>
  <c r="C91" i="4"/>
  <c r="E89" i="4"/>
  <c r="D89" i="4"/>
  <c r="C89" i="4"/>
  <c r="E88" i="4"/>
  <c r="D88" i="4"/>
  <c r="C88" i="4"/>
  <c r="E87" i="4"/>
  <c r="D87" i="4"/>
  <c r="C87" i="4"/>
  <c r="E86" i="4"/>
  <c r="D86" i="4"/>
  <c r="C86" i="4"/>
  <c r="E85" i="4"/>
  <c r="E123" i="4" s="1"/>
  <c r="D85" i="4"/>
  <c r="C85" i="4"/>
  <c r="E83" i="4"/>
  <c r="D83" i="4"/>
  <c r="C83" i="4"/>
  <c r="E82" i="4"/>
  <c r="D82" i="4"/>
  <c r="C82" i="4"/>
  <c r="E81" i="4"/>
  <c r="D81" i="4"/>
  <c r="C81" i="4"/>
  <c r="E80" i="4"/>
  <c r="D80" i="4"/>
  <c r="C80" i="4"/>
  <c r="E79" i="4"/>
  <c r="D79" i="4"/>
  <c r="C79" i="4"/>
  <c r="E77" i="4"/>
  <c r="D77" i="4"/>
  <c r="C77" i="4"/>
  <c r="E76" i="4"/>
  <c r="D76" i="4"/>
  <c r="C76" i="4"/>
  <c r="E75" i="4"/>
  <c r="D75" i="4"/>
  <c r="C75" i="4"/>
  <c r="E74" i="4"/>
  <c r="D74" i="4"/>
  <c r="C74" i="4"/>
  <c r="E73" i="4"/>
  <c r="D73" i="4"/>
  <c r="C73" i="4"/>
  <c r="E71" i="4"/>
  <c r="D71" i="4"/>
  <c r="C71" i="4"/>
  <c r="E70" i="4"/>
  <c r="D70" i="4"/>
  <c r="C70" i="4"/>
  <c r="E69" i="4"/>
  <c r="D69" i="4"/>
  <c r="C69" i="4"/>
  <c r="E68" i="4"/>
  <c r="D68" i="4"/>
  <c r="C68" i="4"/>
  <c r="E67" i="4"/>
  <c r="D67" i="4"/>
  <c r="C67" i="4"/>
  <c r="E65" i="4"/>
  <c r="D65" i="4"/>
  <c r="C65" i="4"/>
  <c r="E64" i="4"/>
  <c r="D64" i="4"/>
  <c r="C64" i="4"/>
  <c r="E63" i="4"/>
  <c r="D63" i="4"/>
  <c r="C63" i="4"/>
  <c r="E62" i="4"/>
  <c r="D62" i="4"/>
  <c r="C62" i="4"/>
  <c r="F119" i="4"/>
  <c r="E61" i="4"/>
  <c r="D61" i="4"/>
  <c r="C61" i="4"/>
  <c r="E59" i="4"/>
  <c r="D59" i="4"/>
  <c r="C59" i="4"/>
  <c r="E58" i="4"/>
  <c r="D58" i="4"/>
  <c r="C58" i="4"/>
  <c r="E57" i="4"/>
  <c r="D57" i="4"/>
  <c r="C57" i="4"/>
  <c r="E56" i="4"/>
  <c r="D56" i="4"/>
  <c r="C56" i="4"/>
  <c r="E55" i="4"/>
  <c r="D55" i="4"/>
  <c r="C55" i="4"/>
  <c r="Q4" i="1"/>
  <c r="Q5" i="1"/>
  <c r="Q8" i="1"/>
  <c r="Q7" i="1"/>
  <c r="Q6" i="1"/>
  <c r="I148" i="2"/>
  <c r="I147" i="2"/>
  <c r="I146" i="2"/>
  <c r="I145" i="2"/>
  <c r="I144" i="2"/>
  <c r="I143" i="2"/>
  <c r="I142" i="2"/>
  <c r="H148" i="2"/>
  <c r="H147" i="2"/>
  <c r="H146" i="2"/>
  <c r="H145" i="2"/>
  <c r="H144" i="2"/>
  <c r="H143" i="2"/>
  <c r="H142" i="2"/>
  <c r="I136" i="2"/>
  <c r="I135" i="2"/>
  <c r="I134" i="2"/>
  <c r="I133" i="2"/>
  <c r="I132" i="2"/>
  <c r="I131" i="2"/>
  <c r="I130" i="2"/>
  <c r="H136" i="2"/>
  <c r="H135" i="2"/>
  <c r="H134" i="2"/>
  <c r="H133" i="2"/>
  <c r="H132" i="2"/>
  <c r="H131" i="2"/>
  <c r="H130" i="2"/>
  <c r="I124" i="2"/>
  <c r="I123" i="2"/>
  <c r="I122" i="2"/>
  <c r="I121" i="2"/>
  <c r="I120" i="2"/>
  <c r="I119" i="2"/>
  <c r="I118" i="2"/>
  <c r="H124" i="2"/>
  <c r="H123" i="2"/>
  <c r="H122" i="2"/>
  <c r="H121" i="2"/>
  <c r="H120" i="2"/>
  <c r="H119" i="2"/>
  <c r="H118" i="2"/>
  <c r="I112" i="2"/>
  <c r="I111" i="2"/>
  <c r="I110" i="2"/>
  <c r="I109" i="2"/>
  <c r="I108" i="2"/>
  <c r="I107" i="2"/>
  <c r="I106" i="2"/>
  <c r="H112" i="2"/>
  <c r="H111" i="2"/>
  <c r="H110" i="2"/>
  <c r="H109" i="2"/>
  <c r="H108" i="2"/>
  <c r="H107" i="2"/>
  <c r="H106" i="2"/>
  <c r="I95" i="2"/>
  <c r="I94" i="2"/>
  <c r="I93" i="2"/>
  <c r="I92" i="2"/>
  <c r="I91" i="2"/>
  <c r="I89" i="2"/>
  <c r="I88" i="2"/>
  <c r="I87" i="2"/>
  <c r="I86" i="2"/>
  <c r="I85" i="2"/>
  <c r="I83" i="2"/>
  <c r="I82" i="2"/>
  <c r="I81" i="2"/>
  <c r="I80" i="2"/>
  <c r="I79" i="2"/>
  <c r="I77" i="2"/>
  <c r="I76" i="2"/>
  <c r="I75" i="2"/>
  <c r="I74" i="2"/>
  <c r="I73" i="2"/>
  <c r="I71" i="2"/>
  <c r="I70" i="2"/>
  <c r="I69" i="2"/>
  <c r="I68" i="2"/>
  <c r="I67" i="2"/>
  <c r="I65" i="2"/>
  <c r="I64" i="2"/>
  <c r="I63" i="2"/>
  <c r="I62" i="2"/>
  <c r="I61" i="2"/>
  <c r="I59" i="2"/>
  <c r="I58" i="2"/>
  <c r="I57" i="2"/>
  <c r="I56" i="2"/>
  <c r="I55" i="2"/>
  <c r="H95" i="2"/>
  <c r="H94" i="2"/>
  <c r="H93" i="2"/>
  <c r="H92" i="2"/>
  <c r="H91" i="2"/>
  <c r="H89" i="2"/>
  <c r="H88" i="2"/>
  <c r="H87" i="2"/>
  <c r="H86" i="2"/>
  <c r="H85" i="2"/>
  <c r="H83" i="2"/>
  <c r="H82" i="2"/>
  <c r="H81" i="2"/>
  <c r="H80" i="2"/>
  <c r="H79" i="2"/>
  <c r="H77" i="2"/>
  <c r="H76" i="2"/>
  <c r="H75" i="2"/>
  <c r="H74" i="2"/>
  <c r="H73" i="2"/>
  <c r="H71" i="2"/>
  <c r="H70" i="2"/>
  <c r="H69" i="2"/>
  <c r="H68" i="2"/>
  <c r="H67" i="2"/>
  <c r="H65" i="2"/>
  <c r="H64" i="2"/>
  <c r="H63" i="2"/>
  <c r="H62" i="2"/>
  <c r="H61" i="2"/>
  <c r="H59" i="2"/>
  <c r="H58" i="2"/>
  <c r="H57" i="2"/>
  <c r="H56" i="2"/>
  <c r="H55" i="2"/>
  <c r="O132" i="1"/>
  <c r="O131" i="1"/>
  <c r="O130" i="1"/>
  <c r="O129" i="1"/>
  <c r="O128" i="1"/>
  <c r="O127" i="1"/>
  <c r="O126" i="1"/>
  <c r="N132" i="1"/>
  <c r="N131" i="1"/>
  <c r="N130" i="1"/>
  <c r="N129" i="1"/>
  <c r="N128" i="1"/>
  <c r="N127" i="1"/>
  <c r="N126" i="1"/>
  <c r="O122" i="1"/>
  <c r="O121" i="1"/>
  <c r="O120" i="1"/>
  <c r="O119" i="1"/>
  <c r="O118" i="1"/>
  <c r="O117" i="1"/>
  <c r="O116" i="1"/>
  <c r="N122" i="1"/>
  <c r="N121" i="1"/>
  <c r="N120" i="1"/>
  <c r="N119" i="1"/>
  <c r="N118" i="1"/>
  <c r="N117" i="1"/>
  <c r="N116" i="1"/>
  <c r="O111" i="1"/>
  <c r="O110" i="1"/>
  <c r="O109" i="1"/>
  <c r="O108" i="1"/>
  <c r="O107" i="1"/>
  <c r="O106" i="1"/>
  <c r="O105" i="1"/>
  <c r="N111" i="1"/>
  <c r="N110" i="1"/>
  <c r="N109" i="1"/>
  <c r="N108" i="1"/>
  <c r="N107" i="1"/>
  <c r="N106" i="1"/>
  <c r="N105" i="1"/>
  <c r="O100" i="1"/>
  <c r="O99" i="1"/>
  <c r="O98" i="1"/>
  <c r="O97" i="1"/>
  <c r="O96" i="1"/>
  <c r="O95" i="1"/>
  <c r="O94" i="1"/>
  <c r="N100" i="1"/>
  <c r="N99" i="1"/>
  <c r="N98" i="1"/>
  <c r="N97" i="1"/>
  <c r="N96" i="1"/>
  <c r="N95" i="1"/>
  <c r="N94" i="1"/>
  <c r="O89" i="1"/>
  <c r="O88" i="1"/>
  <c r="O87" i="1"/>
  <c r="O86" i="1"/>
  <c r="O85" i="1"/>
  <c r="O83" i="1"/>
  <c r="O82" i="1"/>
  <c r="O81" i="1"/>
  <c r="O80" i="1"/>
  <c r="O79" i="1"/>
  <c r="O77" i="1"/>
  <c r="O76" i="1"/>
  <c r="O75" i="1"/>
  <c r="O74" i="1"/>
  <c r="O73" i="1"/>
  <c r="O71" i="1"/>
  <c r="O70" i="1"/>
  <c r="O69" i="1"/>
  <c r="O68" i="1"/>
  <c r="O67" i="1"/>
  <c r="O65" i="1"/>
  <c r="O64" i="1"/>
  <c r="O63" i="1"/>
  <c r="O62" i="1"/>
  <c r="O61" i="1"/>
  <c r="O59" i="1"/>
  <c r="O58" i="1"/>
  <c r="O57" i="1"/>
  <c r="O56" i="1"/>
  <c r="O55" i="1"/>
  <c r="O53" i="1"/>
  <c r="O52" i="1"/>
  <c r="O51" i="1"/>
  <c r="O50" i="1"/>
  <c r="O49" i="1"/>
  <c r="N89" i="1"/>
  <c r="N88" i="1"/>
  <c r="N87" i="1"/>
  <c r="N86" i="1"/>
  <c r="N85" i="1"/>
  <c r="N83" i="1"/>
  <c r="N82" i="1"/>
  <c r="N81" i="1"/>
  <c r="N80" i="1"/>
  <c r="N79" i="1"/>
  <c r="N77" i="1"/>
  <c r="N76" i="1"/>
  <c r="N75" i="1"/>
  <c r="N74" i="1"/>
  <c r="N73" i="1"/>
  <c r="N71" i="1"/>
  <c r="N70" i="1"/>
  <c r="N69" i="1"/>
  <c r="N68" i="1"/>
  <c r="N67" i="1"/>
  <c r="N65" i="1"/>
  <c r="N64" i="1"/>
  <c r="N63" i="1"/>
  <c r="N62" i="1"/>
  <c r="N61" i="1"/>
  <c r="N59" i="1"/>
  <c r="N58" i="1"/>
  <c r="N57" i="1"/>
  <c r="N56" i="1"/>
  <c r="N55" i="1"/>
  <c r="N53" i="1"/>
  <c r="N52" i="1"/>
  <c r="N51" i="1"/>
  <c r="N50" i="1"/>
  <c r="N49" i="1"/>
  <c r="M132" i="1"/>
  <c r="M131" i="1"/>
  <c r="M130" i="1"/>
  <c r="M129" i="1"/>
  <c r="M128" i="1"/>
  <c r="M127" i="1"/>
  <c r="M126" i="1"/>
  <c r="L132" i="1"/>
  <c r="L131" i="1"/>
  <c r="L130" i="1"/>
  <c r="L129" i="1"/>
  <c r="L128" i="1"/>
  <c r="L127" i="1"/>
  <c r="L126" i="1"/>
  <c r="M122" i="1"/>
  <c r="M121" i="1"/>
  <c r="M120" i="1"/>
  <c r="M119" i="1"/>
  <c r="M118" i="1"/>
  <c r="M117" i="1"/>
  <c r="M116" i="1"/>
  <c r="L122" i="1"/>
  <c r="L121" i="1"/>
  <c r="L120" i="1"/>
  <c r="L119" i="1"/>
  <c r="L118" i="1"/>
  <c r="L117" i="1"/>
  <c r="L116" i="1"/>
  <c r="M111" i="1"/>
  <c r="M110" i="1"/>
  <c r="M109" i="1"/>
  <c r="M108" i="1"/>
  <c r="M107" i="1"/>
  <c r="M106" i="1"/>
  <c r="M105" i="1"/>
  <c r="L111" i="1"/>
  <c r="L110" i="1"/>
  <c r="L109" i="1"/>
  <c r="L108" i="1"/>
  <c r="L107" i="1"/>
  <c r="L106" i="1"/>
  <c r="L105" i="1"/>
  <c r="M100" i="1"/>
  <c r="M99" i="1"/>
  <c r="M98" i="1"/>
  <c r="M97" i="1"/>
  <c r="M96" i="1"/>
  <c r="M95" i="1"/>
  <c r="M94" i="1"/>
  <c r="L100" i="1"/>
  <c r="L99" i="1"/>
  <c r="L98" i="1"/>
  <c r="L97" i="1"/>
  <c r="L96" i="1"/>
  <c r="L95" i="1"/>
  <c r="L94" i="1"/>
  <c r="M89" i="1"/>
  <c r="M88" i="1"/>
  <c r="M87" i="1"/>
  <c r="M86" i="1"/>
  <c r="M85" i="1"/>
  <c r="M83" i="1"/>
  <c r="M82" i="1"/>
  <c r="M81" i="1"/>
  <c r="M80" i="1"/>
  <c r="M79" i="1"/>
  <c r="M77" i="1"/>
  <c r="M76" i="1"/>
  <c r="M75" i="1"/>
  <c r="M74" i="1"/>
  <c r="M73" i="1"/>
  <c r="M71" i="1"/>
  <c r="M70" i="1"/>
  <c r="M69" i="1"/>
  <c r="M68" i="1"/>
  <c r="M67" i="1"/>
  <c r="M65" i="1"/>
  <c r="M64" i="1"/>
  <c r="M63" i="1"/>
  <c r="M62" i="1"/>
  <c r="M61" i="1"/>
  <c r="M59" i="1"/>
  <c r="M58" i="1"/>
  <c r="M57" i="1"/>
  <c r="M56" i="1"/>
  <c r="M55" i="1"/>
  <c r="M53" i="1"/>
  <c r="M52" i="1"/>
  <c r="M51" i="1"/>
  <c r="M50" i="1"/>
  <c r="M49" i="1"/>
  <c r="L89" i="1"/>
  <c r="L88" i="1"/>
  <c r="L87" i="1"/>
  <c r="L86" i="1"/>
  <c r="L85" i="1"/>
  <c r="L83" i="1"/>
  <c r="L82" i="1"/>
  <c r="L81" i="1"/>
  <c r="L80" i="1"/>
  <c r="L79" i="1"/>
  <c r="L77" i="1"/>
  <c r="L76" i="1"/>
  <c r="L75" i="1"/>
  <c r="L74" i="1"/>
  <c r="L73" i="1"/>
  <c r="L71" i="1"/>
  <c r="L70" i="1"/>
  <c r="L69" i="1"/>
  <c r="L68" i="1"/>
  <c r="L67" i="1"/>
  <c r="L65" i="1"/>
  <c r="L64" i="1"/>
  <c r="L63" i="1"/>
  <c r="L62" i="1"/>
  <c r="L61" i="1"/>
  <c r="L59" i="1"/>
  <c r="L58" i="1"/>
  <c r="L57" i="1"/>
  <c r="L56" i="1"/>
  <c r="L55" i="1"/>
  <c r="L53" i="1"/>
  <c r="L52" i="1"/>
  <c r="L51" i="1"/>
  <c r="L50" i="1"/>
  <c r="L49" i="1"/>
  <c r="K132" i="1"/>
  <c r="K131" i="1"/>
  <c r="K130" i="1"/>
  <c r="K129" i="1"/>
  <c r="K128" i="1"/>
  <c r="K127" i="1"/>
  <c r="K126" i="1"/>
  <c r="J132" i="1"/>
  <c r="J131" i="1"/>
  <c r="J130" i="1"/>
  <c r="J129" i="1"/>
  <c r="J128" i="1"/>
  <c r="J127" i="1"/>
  <c r="J126" i="1"/>
  <c r="I132" i="1"/>
  <c r="I131" i="1"/>
  <c r="I130" i="1"/>
  <c r="I129" i="1"/>
  <c r="I128" i="1"/>
  <c r="I127" i="1"/>
  <c r="I126" i="1"/>
  <c r="H132" i="1"/>
  <c r="H131" i="1"/>
  <c r="H130" i="1"/>
  <c r="H129" i="1"/>
  <c r="H128" i="1"/>
  <c r="H127" i="1"/>
  <c r="H126" i="1"/>
  <c r="K122" i="1"/>
  <c r="K121" i="1"/>
  <c r="K120" i="1"/>
  <c r="K119" i="1"/>
  <c r="K118" i="1"/>
  <c r="K117" i="1"/>
  <c r="K116" i="1"/>
  <c r="J122" i="1"/>
  <c r="J121" i="1"/>
  <c r="J120" i="1"/>
  <c r="J119" i="1"/>
  <c r="J118" i="1"/>
  <c r="J117" i="1"/>
  <c r="J116" i="1"/>
  <c r="I122" i="1"/>
  <c r="I121" i="1"/>
  <c r="I120" i="1"/>
  <c r="I119" i="1"/>
  <c r="I118" i="1"/>
  <c r="I117" i="1"/>
  <c r="I116" i="1"/>
  <c r="H122" i="1"/>
  <c r="H121" i="1"/>
  <c r="H120" i="1"/>
  <c r="H119" i="1"/>
  <c r="H118" i="1"/>
  <c r="H117" i="1"/>
  <c r="H116" i="1"/>
  <c r="K111" i="1"/>
  <c r="K110" i="1"/>
  <c r="K109" i="1"/>
  <c r="K108" i="1"/>
  <c r="K107" i="1"/>
  <c r="K106" i="1"/>
  <c r="K105" i="1"/>
  <c r="J111" i="1"/>
  <c r="J110" i="1"/>
  <c r="J109" i="1"/>
  <c r="J108" i="1"/>
  <c r="J107" i="1"/>
  <c r="J106" i="1"/>
  <c r="J105" i="1"/>
  <c r="I111" i="1"/>
  <c r="I110" i="1"/>
  <c r="I109" i="1"/>
  <c r="I108" i="1"/>
  <c r="I107" i="1"/>
  <c r="I106" i="1"/>
  <c r="I105" i="1"/>
  <c r="H111" i="1"/>
  <c r="H110" i="1"/>
  <c r="H109" i="1"/>
  <c r="H108" i="1"/>
  <c r="H107" i="1"/>
  <c r="H106" i="1"/>
  <c r="H105" i="1"/>
  <c r="K100" i="1"/>
  <c r="K99" i="1"/>
  <c r="K98" i="1"/>
  <c r="K97" i="1"/>
  <c r="K96" i="1"/>
  <c r="K95" i="1"/>
  <c r="K94" i="1"/>
  <c r="J99" i="1"/>
  <c r="J98" i="1"/>
  <c r="J97" i="1"/>
  <c r="J96" i="1"/>
  <c r="J95" i="1"/>
  <c r="J94" i="1"/>
  <c r="I100" i="1"/>
  <c r="I99" i="1"/>
  <c r="I98" i="1"/>
  <c r="I97" i="1"/>
  <c r="I96" i="1"/>
  <c r="I95" i="1"/>
  <c r="I94" i="1"/>
  <c r="H100" i="1"/>
  <c r="H99" i="1"/>
  <c r="H98" i="1"/>
  <c r="H97" i="1"/>
  <c r="H96" i="1"/>
  <c r="H95" i="1"/>
  <c r="H94" i="1"/>
  <c r="K89" i="1"/>
  <c r="K88" i="1"/>
  <c r="K87" i="1"/>
  <c r="K86" i="1"/>
  <c r="K85" i="1"/>
  <c r="K83" i="1"/>
  <c r="K82" i="1"/>
  <c r="K81" i="1"/>
  <c r="K80" i="1"/>
  <c r="K79" i="1"/>
  <c r="K77" i="1"/>
  <c r="K76" i="1"/>
  <c r="K75" i="1"/>
  <c r="K74" i="1"/>
  <c r="K73" i="1"/>
  <c r="K71" i="1"/>
  <c r="K70" i="1"/>
  <c r="K69" i="1"/>
  <c r="K68" i="1"/>
  <c r="K67" i="1"/>
  <c r="K65" i="1"/>
  <c r="K64" i="1"/>
  <c r="K63" i="1"/>
  <c r="K62" i="1"/>
  <c r="K61" i="1"/>
  <c r="K59" i="1"/>
  <c r="K58" i="1"/>
  <c r="K57" i="1"/>
  <c r="K56" i="1"/>
  <c r="K55" i="1"/>
  <c r="K53" i="1"/>
  <c r="K52" i="1"/>
  <c r="K51" i="1"/>
  <c r="K50" i="1"/>
  <c r="K49" i="1"/>
  <c r="J89" i="1"/>
  <c r="J88" i="1"/>
  <c r="J87" i="1"/>
  <c r="J86" i="1"/>
  <c r="J85" i="1"/>
  <c r="J83" i="1"/>
  <c r="J82" i="1"/>
  <c r="J81" i="1"/>
  <c r="J80" i="1"/>
  <c r="J79" i="1"/>
  <c r="J77" i="1"/>
  <c r="J76" i="1"/>
  <c r="J75" i="1"/>
  <c r="J74" i="1"/>
  <c r="J73" i="1"/>
  <c r="J71" i="1"/>
  <c r="J70" i="1"/>
  <c r="J69" i="1"/>
  <c r="J68" i="1"/>
  <c r="J67" i="1"/>
  <c r="J65" i="1"/>
  <c r="J64" i="1"/>
  <c r="J63" i="1"/>
  <c r="J62" i="1"/>
  <c r="J61" i="1"/>
  <c r="J59" i="1"/>
  <c r="J58" i="1"/>
  <c r="J56" i="1"/>
  <c r="J55" i="1"/>
  <c r="J53" i="1"/>
  <c r="J52" i="1"/>
  <c r="J51" i="1"/>
  <c r="J50" i="1"/>
  <c r="J49" i="1"/>
  <c r="I89" i="1"/>
  <c r="I88" i="1"/>
  <c r="I87" i="1"/>
  <c r="I86" i="1"/>
  <c r="I85" i="1"/>
  <c r="I83" i="1"/>
  <c r="I82" i="1"/>
  <c r="I81" i="1"/>
  <c r="I80" i="1"/>
  <c r="I79" i="1"/>
  <c r="I77" i="1"/>
  <c r="I76" i="1"/>
  <c r="I75" i="1"/>
  <c r="I74" i="1"/>
  <c r="I73" i="1"/>
  <c r="I71" i="1"/>
  <c r="I70" i="1"/>
  <c r="I69" i="1"/>
  <c r="I68" i="1"/>
  <c r="I67" i="1"/>
  <c r="I65" i="1"/>
  <c r="I64" i="1"/>
  <c r="I63" i="1"/>
  <c r="I62" i="1"/>
  <c r="I61" i="1"/>
  <c r="I59" i="1"/>
  <c r="I58" i="1"/>
  <c r="I57" i="1"/>
  <c r="I56" i="1"/>
  <c r="I55" i="1"/>
  <c r="I53" i="1"/>
  <c r="I52" i="1"/>
  <c r="I51" i="1"/>
  <c r="I50" i="1"/>
  <c r="I49" i="1"/>
  <c r="H89" i="1"/>
  <c r="H88" i="1"/>
  <c r="H87" i="1"/>
  <c r="H86" i="1"/>
  <c r="H85" i="1"/>
  <c r="H83" i="1"/>
  <c r="H82" i="1"/>
  <c r="H81" i="1"/>
  <c r="H80" i="1"/>
  <c r="H79" i="1"/>
  <c r="H77" i="1"/>
  <c r="H76" i="1"/>
  <c r="H75" i="1"/>
  <c r="H74" i="1"/>
  <c r="H73" i="1"/>
  <c r="H71" i="1"/>
  <c r="H70" i="1"/>
  <c r="H69" i="1"/>
  <c r="H68" i="1"/>
  <c r="H67" i="1"/>
  <c r="H65" i="1"/>
  <c r="H64" i="1"/>
  <c r="H63" i="1"/>
  <c r="H62" i="1"/>
  <c r="H61" i="1"/>
  <c r="H59" i="1"/>
  <c r="H58" i="1"/>
  <c r="H57" i="1"/>
  <c r="H56" i="1"/>
  <c r="H55" i="1"/>
  <c r="H53" i="1"/>
  <c r="H52" i="1"/>
  <c r="H51" i="1"/>
  <c r="H50" i="1"/>
  <c r="H49" i="1"/>
  <c r="F133" i="3"/>
  <c r="E133" i="3"/>
  <c r="D133" i="3"/>
  <c r="C133" i="3"/>
  <c r="F132" i="3"/>
  <c r="E132" i="3"/>
  <c r="D132" i="3"/>
  <c r="C132" i="3"/>
  <c r="F131" i="3"/>
  <c r="E131" i="3"/>
  <c r="D131" i="3"/>
  <c r="C131" i="3"/>
  <c r="F130" i="3"/>
  <c r="E130" i="3"/>
  <c r="D130" i="3"/>
  <c r="C130" i="3"/>
  <c r="F129" i="3"/>
  <c r="E129" i="3"/>
  <c r="D129" i="3"/>
  <c r="C129" i="3"/>
  <c r="F128" i="3"/>
  <c r="E128" i="3"/>
  <c r="D128" i="3"/>
  <c r="C128" i="3"/>
  <c r="F127" i="3"/>
  <c r="E127" i="3"/>
  <c r="D127" i="3"/>
  <c r="C127" i="3"/>
  <c r="C142" i="2"/>
  <c r="R110" i="4" l="1"/>
  <c r="R123" i="4"/>
  <c r="R111" i="4"/>
  <c r="R124" i="4"/>
  <c r="R142" i="4"/>
  <c r="R112" i="4"/>
  <c r="R143" i="4"/>
  <c r="R118" i="4"/>
  <c r="R144" i="4"/>
  <c r="R119" i="4"/>
  <c r="R145" i="4"/>
  <c r="R120" i="4"/>
  <c r="R146" i="4"/>
  <c r="R121" i="4"/>
  <c r="R147" i="4"/>
  <c r="C134" i="4"/>
  <c r="C108" i="4"/>
  <c r="C121" i="4"/>
  <c r="C112" i="4"/>
  <c r="E106" i="4"/>
  <c r="E145" i="4"/>
  <c r="E110" i="4"/>
  <c r="E136" i="4"/>
  <c r="D109" i="4"/>
  <c r="D122" i="4"/>
  <c r="D112" i="4"/>
  <c r="E131" i="4"/>
  <c r="D146" i="4"/>
  <c r="C146" i="4"/>
  <c r="E124" i="4"/>
  <c r="C144" i="4"/>
  <c r="E146" i="4"/>
  <c r="E119" i="4"/>
  <c r="C120" i="4"/>
  <c r="D134" i="4"/>
  <c r="E132" i="4"/>
  <c r="C111" i="4"/>
  <c r="D135" i="4"/>
  <c r="C142" i="4"/>
  <c r="E144" i="4"/>
  <c r="D123" i="4"/>
  <c r="F111" i="4"/>
  <c r="E122" i="4"/>
  <c r="D130" i="4"/>
  <c r="E130" i="4"/>
  <c r="C145" i="4"/>
  <c r="D121" i="4"/>
  <c r="E147" i="4"/>
  <c r="C136" i="4"/>
  <c r="D148" i="4"/>
  <c r="D143" i="4"/>
  <c r="D144" i="4"/>
  <c r="E118" i="4"/>
  <c r="D145" i="4"/>
  <c r="C124" i="4"/>
  <c r="E148" i="4"/>
  <c r="G108" i="4"/>
  <c r="G124" i="4"/>
  <c r="F123" i="4"/>
  <c r="G107" i="4"/>
  <c r="G120" i="4"/>
  <c r="F106" i="4"/>
  <c r="F107" i="4"/>
  <c r="F124" i="4"/>
  <c r="G112" i="4"/>
  <c r="C110" i="4"/>
  <c r="D111" i="4"/>
  <c r="E112" i="4"/>
  <c r="F118" i="4"/>
  <c r="G119" i="4"/>
  <c r="C123" i="4"/>
  <c r="D124" i="4"/>
  <c r="D142" i="4"/>
  <c r="E143" i="4"/>
  <c r="G106" i="4"/>
  <c r="C109" i="4"/>
  <c r="D110" i="4"/>
  <c r="E111" i="4"/>
  <c r="F112" i="4"/>
  <c r="G118" i="4"/>
  <c r="C122" i="4"/>
  <c r="C135" i="4"/>
  <c r="D136" i="4"/>
  <c r="E142" i="4"/>
  <c r="C148" i="4"/>
  <c r="D108" i="4"/>
  <c r="F110" i="4"/>
  <c r="C133" i="4"/>
  <c r="E135" i="4"/>
  <c r="D147" i="4"/>
  <c r="C106" i="4"/>
  <c r="D107" i="4"/>
  <c r="E108" i="4"/>
  <c r="F109" i="4"/>
  <c r="G110" i="4"/>
  <c r="C119" i="4"/>
  <c r="D120" i="4"/>
  <c r="E121" i="4"/>
  <c r="F122" i="4"/>
  <c r="G123" i="4"/>
  <c r="C132" i="4"/>
  <c r="D133" i="4"/>
  <c r="E134" i="4"/>
  <c r="C147" i="4"/>
  <c r="C107" i="4"/>
  <c r="E109" i="4"/>
  <c r="G111" i="4"/>
  <c r="D106" i="4"/>
  <c r="E107" i="4"/>
  <c r="F108" i="4"/>
  <c r="G109" i="4"/>
  <c r="C118" i="4"/>
  <c r="D119" i="4"/>
  <c r="E120" i="4"/>
  <c r="F121" i="4"/>
  <c r="G122" i="4"/>
  <c r="C131" i="4"/>
  <c r="D132" i="4"/>
  <c r="E133" i="4"/>
  <c r="D118" i="4"/>
  <c r="F120" i="4"/>
  <c r="C130" i="4"/>
  <c r="D131" i="4"/>
  <c r="D143" i="2"/>
  <c r="D142" i="2"/>
  <c r="D122" i="3" l="1"/>
  <c r="D121" i="3"/>
  <c r="D120" i="3"/>
  <c r="D119" i="3"/>
  <c r="D118" i="3"/>
  <c r="D117" i="3"/>
  <c r="D116" i="3"/>
  <c r="D111" i="3"/>
  <c r="D110" i="3"/>
  <c r="D109" i="3"/>
  <c r="D108" i="3"/>
  <c r="D107" i="3"/>
  <c r="D106" i="3"/>
  <c r="D105" i="3"/>
  <c r="D89" i="3"/>
  <c r="D88" i="3"/>
  <c r="D87" i="3"/>
  <c r="D86" i="3"/>
  <c r="D85" i="3"/>
  <c r="D83" i="3"/>
  <c r="D82" i="3"/>
  <c r="D81" i="3"/>
  <c r="D80" i="3"/>
  <c r="D79" i="3"/>
  <c r="D77" i="3"/>
  <c r="D76" i="3"/>
  <c r="D75" i="3"/>
  <c r="D74" i="3"/>
  <c r="D73" i="3"/>
  <c r="D71" i="3"/>
  <c r="D70" i="3"/>
  <c r="D97" i="3" s="1"/>
  <c r="D69" i="3"/>
  <c r="D68" i="3"/>
  <c r="D67" i="3"/>
  <c r="D65" i="3"/>
  <c r="D64" i="3"/>
  <c r="D63" i="3"/>
  <c r="D62" i="3"/>
  <c r="D61" i="3"/>
  <c r="D59" i="3"/>
  <c r="D58" i="3"/>
  <c r="D57" i="3"/>
  <c r="D56" i="3"/>
  <c r="D55" i="3"/>
  <c r="D53" i="3"/>
  <c r="D52" i="3"/>
  <c r="D51" i="3"/>
  <c r="D50" i="3"/>
  <c r="D49" i="3"/>
  <c r="E49" i="3"/>
  <c r="F49" i="3"/>
  <c r="E50" i="3"/>
  <c r="F50" i="3"/>
  <c r="E51" i="3"/>
  <c r="F51" i="3"/>
  <c r="E52" i="3"/>
  <c r="F52" i="3"/>
  <c r="E53" i="3"/>
  <c r="F53" i="3"/>
  <c r="E55" i="3"/>
  <c r="F55" i="3"/>
  <c r="E56" i="3"/>
  <c r="F56" i="3"/>
  <c r="E57" i="3"/>
  <c r="F57" i="3"/>
  <c r="E58" i="3"/>
  <c r="F58" i="3"/>
  <c r="E59" i="3"/>
  <c r="F59" i="3"/>
  <c r="E61" i="3"/>
  <c r="F61" i="3"/>
  <c r="E62" i="3"/>
  <c r="F62" i="3"/>
  <c r="E63" i="3"/>
  <c r="F63" i="3"/>
  <c r="E64" i="3"/>
  <c r="F64" i="3"/>
  <c r="E65" i="3"/>
  <c r="F65" i="3"/>
  <c r="E67" i="3"/>
  <c r="F67" i="3"/>
  <c r="E68" i="3"/>
  <c r="F68" i="3"/>
  <c r="E69" i="3"/>
  <c r="F69" i="3"/>
  <c r="E70" i="3"/>
  <c r="F70" i="3"/>
  <c r="E71" i="3"/>
  <c r="F71" i="3"/>
  <c r="E73" i="3"/>
  <c r="F73" i="3"/>
  <c r="E74" i="3"/>
  <c r="F74" i="3"/>
  <c r="E75" i="3"/>
  <c r="F75" i="3"/>
  <c r="E76" i="3"/>
  <c r="F76" i="3"/>
  <c r="E77" i="3"/>
  <c r="F77" i="3"/>
  <c r="E79" i="3"/>
  <c r="F79" i="3"/>
  <c r="E80" i="3"/>
  <c r="F80" i="3"/>
  <c r="E81" i="3"/>
  <c r="F81" i="3"/>
  <c r="E82" i="3"/>
  <c r="F82" i="3"/>
  <c r="E83" i="3"/>
  <c r="F83" i="3"/>
  <c r="E85" i="3"/>
  <c r="F85" i="3"/>
  <c r="E86" i="3"/>
  <c r="E111" i="3" s="1"/>
  <c r="F86" i="3"/>
  <c r="F122" i="3" s="1"/>
  <c r="E87" i="3"/>
  <c r="F87" i="3"/>
  <c r="E88" i="3"/>
  <c r="F88" i="3"/>
  <c r="E89" i="3"/>
  <c r="F89" i="3"/>
  <c r="C89" i="3"/>
  <c r="C88" i="3"/>
  <c r="C87" i="3"/>
  <c r="C86" i="3"/>
  <c r="C85" i="3"/>
  <c r="C83" i="3"/>
  <c r="C82" i="3"/>
  <c r="C81" i="3"/>
  <c r="C80" i="3"/>
  <c r="C79" i="3"/>
  <c r="C77" i="3"/>
  <c r="C76" i="3"/>
  <c r="C75" i="3"/>
  <c r="C74" i="3"/>
  <c r="C73" i="3"/>
  <c r="C71" i="3"/>
  <c r="C70" i="3"/>
  <c r="C69" i="3"/>
  <c r="C68" i="3"/>
  <c r="C67" i="3"/>
  <c r="C65" i="3"/>
  <c r="C64" i="3"/>
  <c r="C63" i="3"/>
  <c r="C62" i="3"/>
  <c r="C61" i="3"/>
  <c r="C59" i="3"/>
  <c r="C58" i="3"/>
  <c r="C57" i="3"/>
  <c r="C56" i="3"/>
  <c r="C55" i="3"/>
  <c r="C53" i="3"/>
  <c r="C52" i="3"/>
  <c r="C51" i="3"/>
  <c r="C50" i="3"/>
  <c r="C49" i="3"/>
  <c r="G89" i="1"/>
  <c r="G88" i="1"/>
  <c r="G87" i="1"/>
  <c r="G86" i="1"/>
  <c r="G85" i="1"/>
  <c r="G83" i="1"/>
  <c r="G82" i="1"/>
  <c r="G81" i="1"/>
  <c r="G80" i="1"/>
  <c r="G79" i="1"/>
  <c r="G77" i="1"/>
  <c r="G76" i="1"/>
  <c r="G75" i="1"/>
  <c r="G74" i="1"/>
  <c r="G73" i="1"/>
  <c r="G71" i="1"/>
  <c r="G70" i="1"/>
  <c r="G69" i="1"/>
  <c r="G68" i="1"/>
  <c r="G67" i="1"/>
  <c r="G65" i="1"/>
  <c r="G64" i="1"/>
  <c r="G63" i="1"/>
  <c r="G62" i="1"/>
  <c r="G61" i="1"/>
  <c r="G59" i="1"/>
  <c r="G58" i="1"/>
  <c r="G57" i="1"/>
  <c r="G56" i="1"/>
  <c r="G55" i="1"/>
  <c r="G53" i="1"/>
  <c r="G52" i="1"/>
  <c r="G51" i="1"/>
  <c r="G50" i="1"/>
  <c r="G49" i="1"/>
  <c r="G105" i="1" s="1"/>
  <c r="F89" i="1"/>
  <c r="F88" i="1"/>
  <c r="F87" i="1"/>
  <c r="F86" i="1"/>
  <c r="F85" i="1"/>
  <c r="F83" i="1"/>
  <c r="F82" i="1"/>
  <c r="F81" i="1"/>
  <c r="F80" i="1"/>
  <c r="F79" i="1"/>
  <c r="F77" i="1"/>
  <c r="F76" i="1"/>
  <c r="F75" i="1"/>
  <c r="F74" i="1"/>
  <c r="F73" i="1"/>
  <c r="F71" i="1"/>
  <c r="F70" i="1"/>
  <c r="F69" i="1"/>
  <c r="F68" i="1"/>
  <c r="F67" i="1"/>
  <c r="F65" i="1"/>
  <c r="F64" i="1"/>
  <c r="F63" i="1"/>
  <c r="F62" i="1"/>
  <c r="F61" i="1"/>
  <c r="F59" i="1"/>
  <c r="F58" i="1"/>
  <c r="F57" i="1"/>
  <c r="F56" i="1"/>
  <c r="F55" i="1"/>
  <c r="F53" i="1"/>
  <c r="F52" i="1"/>
  <c r="F51" i="1"/>
  <c r="F50" i="1"/>
  <c r="F49" i="1"/>
  <c r="E89" i="1"/>
  <c r="E88" i="1"/>
  <c r="E87" i="1"/>
  <c r="E86" i="1"/>
  <c r="E85" i="1"/>
  <c r="E83" i="1"/>
  <c r="E82" i="1"/>
  <c r="E81" i="1"/>
  <c r="E80" i="1"/>
  <c r="E79" i="1"/>
  <c r="E77" i="1"/>
  <c r="E76" i="1"/>
  <c r="E75" i="1"/>
  <c r="E74" i="1"/>
  <c r="E73" i="1"/>
  <c r="E71" i="1"/>
  <c r="E70" i="1"/>
  <c r="E69" i="1"/>
  <c r="E68" i="1"/>
  <c r="E67" i="1"/>
  <c r="E65" i="1"/>
  <c r="E64" i="1"/>
  <c r="E63" i="1"/>
  <c r="E62" i="1"/>
  <c r="E61" i="1"/>
  <c r="E59" i="1"/>
  <c r="E58" i="1"/>
  <c r="E57" i="1"/>
  <c r="E56" i="1"/>
  <c r="E55" i="1"/>
  <c r="E53" i="1"/>
  <c r="E52" i="1"/>
  <c r="E51" i="1"/>
  <c r="E50" i="1"/>
  <c r="E49" i="1"/>
  <c r="D89" i="1"/>
  <c r="D88" i="1"/>
  <c r="D87" i="1"/>
  <c r="D86" i="1"/>
  <c r="D85" i="1"/>
  <c r="D83" i="1"/>
  <c r="D82" i="1"/>
  <c r="D81" i="1"/>
  <c r="D80" i="1"/>
  <c r="D79" i="1"/>
  <c r="D99" i="1" s="1"/>
  <c r="D77" i="1"/>
  <c r="D76" i="1"/>
  <c r="D75" i="1"/>
  <c r="D74" i="1"/>
  <c r="D73" i="1"/>
  <c r="D71" i="1"/>
  <c r="D70" i="1"/>
  <c r="D69" i="1"/>
  <c r="D68" i="1"/>
  <c r="D67" i="1"/>
  <c r="D65" i="1"/>
  <c r="D64" i="1"/>
  <c r="D63" i="1"/>
  <c r="D62" i="1"/>
  <c r="D61" i="1"/>
  <c r="D59" i="1"/>
  <c r="D58" i="1"/>
  <c r="D57" i="1"/>
  <c r="D56" i="1"/>
  <c r="D55" i="1"/>
  <c r="D53" i="1"/>
  <c r="D52" i="1"/>
  <c r="D51" i="1"/>
  <c r="D50" i="1"/>
  <c r="D49" i="1"/>
  <c r="C89" i="1"/>
  <c r="C88" i="1"/>
  <c r="C87" i="1"/>
  <c r="C86" i="1"/>
  <c r="C85" i="1"/>
  <c r="C83" i="1"/>
  <c r="C82" i="1"/>
  <c r="C81" i="1"/>
  <c r="C110" i="1" s="1"/>
  <c r="C80" i="1"/>
  <c r="C79" i="1"/>
  <c r="C77" i="1"/>
  <c r="C76" i="1"/>
  <c r="C75" i="1"/>
  <c r="C74" i="1"/>
  <c r="C73" i="1"/>
  <c r="C71" i="1"/>
  <c r="C70" i="1"/>
  <c r="C69" i="1"/>
  <c r="C68" i="1"/>
  <c r="C67" i="1"/>
  <c r="C65" i="1"/>
  <c r="C64" i="1"/>
  <c r="C63" i="1"/>
  <c r="C62" i="1"/>
  <c r="C61" i="1"/>
  <c r="C59" i="1"/>
  <c r="C58" i="1"/>
  <c r="C57" i="1"/>
  <c r="C56" i="1"/>
  <c r="C55" i="1"/>
  <c r="C53" i="1"/>
  <c r="C52" i="1"/>
  <c r="C51" i="1"/>
  <c r="C50" i="1"/>
  <c r="C49" i="1"/>
  <c r="D129" i="1" l="1"/>
  <c r="G111" i="1"/>
  <c r="D116" i="1"/>
  <c r="F118" i="1"/>
  <c r="G119" i="1"/>
  <c r="C109" i="1"/>
  <c r="D109" i="1"/>
  <c r="C106" i="1"/>
  <c r="C111" i="1"/>
  <c r="D117" i="1"/>
  <c r="D120" i="1"/>
  <c r="D132" i="1"/>
  <c r="F105" i="1"/>
  <c r="F129" i="1"/>
  <c r="G106" i="1"/>
  <c r="C119" i="1"/>
  <c r="C129" i="1"/>
  <c r="C122" i="1"/>
  <c r="C132" i="1"/>
  <c r="D127" i="1"/>
  <c r="E128" i="1"/>
  <c r="E131" i="1"/>
  <c r="F132" i="1"/>
  <c r="G130" i="1"/>
  <c r="D97" i="1"/>
  <c r="D111" i="1"/>
  <c r="F121" i="1"/>
  <c r="D100" i="1"/>
  <c r="C99" i="1"/>
  <c r="D131" i="1"/>
  <c r="E106" i="1"/>
  <c r="D121" i="1"/>
  <c r="C95" i="1"/>
  <c r="D107" i="1"/>
  <c r="D108" i="1"/>
  <c r="D122" i="1"/>
  <c r="C97" i="1"/>
  <c r="D106" i="1"/>
  <c r="C120" i="1"/>
  <c r="C130" i="1"/>
  <c r="E108" i="1"/>
  <c r="F109" i="1"/>
  <c r="D98" i="1"/>
  <c r="D119" i="1"/>
  <c r="C121" i="1"/>
  <c r="C131" i="1"/>
  <c r="C117" i="1"/>
  <c r="C127" i="1"/>
  <c r="C107" i="1"/>
  <c r="C108" i="1"/>
  <c r="D130" i="1"/>
  <c r="F127" i="1"/>
  <c r="D95" i="1"/>
  <c r="D110" i="1"/>
  <c r="G131" i="1"/>
  <c r="F94" i="1"/>
  <c r="G95" i="1"/>
  <c r="G110" i="1"/>
  <c r="F116" i="1"/>
  <c r="G117" i="1"/>
  <c r="D128" i="1"/>
  <c r="E132" i="1"/>
  <c r="E126" i="1"/>
  <c r="E129" i="1"/>
  <c r="F130" i="1"/>
  <c r="G128" i="1"/>
  <c r="E94" i="1"/>
  <c r="F95" i="1"/>
  <c r="G96" i="1"/>
  <c r="E109" i="1"/>
  <c r="F110" i="1"/>
  <c r="E116" i="1"/>
  <c r="F117" i="1"/>
  <c r="G118" i="1"/>
  <c r="D94" i="1"/>
  <c r="F96" i="1"/>
  <c r="G97" i="1"/>
  <c r="E110" i="1"/>
  <c r="F111" i="1"/>
  <c r="E117" i="1"/>
  <c r="E96" i="1"/>
  <c r="F97" i="1"/>
  <c r="G98" i="1"/>
  <c r="E111" i="1"/>
  <c r="E118" i="1"/>
  <c r="F119" i="1"/>
  <c r="G120" i="1"/>
  <c r="D96" i="1"/>
  <c r="E97" i="1"/>
  <c r="F98" i="1"/>
  <c r="G99" i="1"/>
  <c r="D118" i="1"/>
  <c r="E119" i="1"/>
  <c r="F120" i="1"/>
  <c r="G121" i="1"/>
  <c r="G132" i="1"/>
  <c r="E98" i="1"/>
  <c r="F99" i="1"/>
  <c r="G100" i="1"/>
  <c r="E105" i="1"/>
  <c r="F106" i="1"/>
  <c r="G107" i="1"/>
  <c r="G122" i="1"/>
  <c r="G127" i="1"/>
  <c r="C94" i="1"/>
  <c r="D126" i="1"/>
  <c r="E130" i="1"/>
  <c r="F128" i="1"/>
  <c r="F131" i="1"/>
  <c r="G129" i="1"/>
  <c r="E99" i="1"/>
  <c r="F100" i="1"/>
  <c r="D105" i="1"/>
  <c r="F107" i="1"/>
  <c r="G108" i="1"/>
  <c r="E121" i="1"/>
  <c r="F122" i="1"/>
  <c r="C116" i="1"/>
  <c r="C126" i="1"/>
  <c r="F126" i="1"/>
  <c r="C118" i="1"/>
  <c r="C128" i="1"/>
  <c r="C105" i="1"/>
  <c r="E127" i="1"/>
  <c r="G126" i="1"/>
  <c r="G94" i="1"/>
  <c r="E107" i="1"/>
  <c r="F108" i="1"/>
  <c r="G109" i="1"/>
  <c r="E122" i="1"/>
  <c r="G116" i="1"/>
  <c r="F110" i="3"/>
  <c r="E110" i="3"/>
  <c r="F109" i="3"/>
  <c r="E117" i="3"/>
  <c r="F116" i="3"/>
  <c r="F119" i="3"/>
  <c r="F97" i="3"/>
  <c r="E120" i="3"/>
  <c r="E116" i="3"/>
  <c r="E98" i="3"/>
  <c r="E122" i="3"/>
  <c r="E108" i="3"/>
  <c r="F108" i="3"/>
  <c r="F94" i="3"/>
  <c r="F99" i="3"/>
  <c r="F106" i="3"/>
  <c r="F120" i="3"/>
  <c r="F111" i="3"/>
  <c r="F98" i="3"/>
  <c r="F96" i="3"/>
  <c r="F121" i="3"/>
  <c r="F107" i="3"/>
  <c r="E99" i="3"/>
  <c r="E109" i="3"/>
  <c r="E97" i="3"/>
  <c r="F117" i="3"/>
  <c r="F105" i="3"/>
  <c r="E100" i="3"/>
  <c r="E96" i="3"/>
  <c r="C97" i="3"/>
  <c r="E118" i="3"/>
  <c r="E95" i="3"/>
  <c r="E94" i="3"/>
  <c r="E107" i="3"/>
  <c r="E106" i="3"/>
  <c r="E119" i="3"/>
  <c r="E105" i="3"/>
  <c r="F95" i="3"/>
  <c r="F100" i="3"/>
  <c r="E121" i="3"/>
  <c r="F118" i="3"/>
  <c r="C94" i="3"/>
  <c r="C109" i="3"/>
  <c r="C106" i="3"/>
  <c r="C121" i="3"/>
  <c r="D95" i="3"/>
  <c r="C118" i="3"/>
  <c r="C100" i="3"/>
  <c r="D100" i="3"/>
  <c r="D94" i="3"/>
  <c r="C99" i="3"/>
  <c r="C111" i="3"/>
  <c r="C96" i="3"/>
  <c r="D99" i="3"/>
  <c r="C108" i="3"/>
  <c r="C120" i="3"/>
  <c r="D96" i="3"/>
  <c r="C105" i="3"/>
  <c r="C117" i="3"/>
  <c r="C98" i="3"/>
  <c r="C110" i="3"/>
  <c r="C122" i="3"/>
  <c r="C95" i="3"/>
  <c r="D98" i="3"/>
  <c r="C107" i="3"/>
  <c r="C119" i="3"/>
  <c r="C116" i="3"/>
  <c r="C96" i="1"/>
  <c r="C98" i="1"/>
  <c r="C100" i="1"/>
  <c r="G95" i="2" l="1"/>
  <c r="F95" i="2"/>
  <c r="E95" i="2"/>
  <c r="D95" i="2"/>
  <c r="C95" i="2"/>
  <c r="G94" i="2"/>
  <c r="F94" i="2"/>
  <c r="E94" i="2"/>
  <c r="D94" i="2"/>
  <c r="C94" i="2"/>
  <c r="G93" i="2"/>
  <c r="F93" i="2"/>
  <c r="E93" i="2"/>
  <c r="D93" i="2"/>
  <c r="C93" i="2"/>
  <c r="G92" i="2"/>
  <c r="F92" i="2"/>
  <c r="E92" i="2"/>
  <c r="D92" i="2"/>
  <c r="C92" i="2"/>
  <c r="G91" i="2"/>
  <c r="F91" i="2"/>
  <c r="E91" i="2"/>
  <c r="D91" i="2"/>
  <c r="D112" i="2" s="1"/>
  <c r="C91" i="2"/>
  <c r="G89" i="2"/>
  <c r="F89" i="2"/>
  <c r="E89" i="2"/>
  <c r="D89" i="2"/>
  <c r="C89" i="2"/>
  <c r="G88" i="2"/>
  <c r="F88" i="2"/>
  <c r="E88" i="2"/>
  <c r="D88" i="2"/>
  <c r="C88" i="2"/>
  <c r="G87" i="2"/>
  <c r="F87" i="2"/>
  <c r="E87" i="2"/>
  <c r="D87" i="2"/>
  <c r="C87" i="2"/>
  <c r="G86" i="2"/>
  <c r="F86" i="2"/>
  <c r="E86" i="2"/>
  <c r="D86" i="2"/>
  <c r="C86" i="2"/>
  <c r="G85" i="2"/>
  <c r="F85" i="2"/>
  <c r="E85" i="2"/>
  <c r="D85" i="2"/>
  <c r="C85" i="2"/>
  <c r="G83" i="2"/>
  <c r="F83" i="2"/>
  <c r="E83" i="2"/>
  <c r="D83" i="2"/>
  <c r="C83" i="2"/>
  <c r="G82" i="2"/>
  <c r="G110" i="2" s="1"/>
  <c r="F82" i="2"/>
  <c r="E82" i="2"/>
  <c r="D82" i="2"/>
  <c r="C82" i="2"/>
  <c r="G81" i="2"/>
  <c r="F81" i="2"/>
  <c r="E81" i="2"/>
  <c r="D81" i="2"/>
  <c r="C81" i="2"/>
  <c r="G80" i="2"/>
  <c r="F80" i="2"/>
  <c r="E80" i="2"/>
  <c r="D80" i="2"/>
  <c r="C80" i="2"/>
  <c r="G79" i="2"/>
  <c r="F79" i="2"/>
  <c r="F122" i="2" s="1"/>
  <c r="E79" i="2"/>
  <c r="D79" i="2"/>
  <c r="C79" i="2"/>
  <c r="G77" i="2"/>
  <c r="F77" i="2"/>
  <c r="E77" i="2"/>
  <c r="D77" i="2"/>
  <c r="C77" i="2"/>
  <c r="G76" i="2"/>
  <c r="F76" i="2"/>
  <c r="E76" i="2"/>
  <c r="D76" i="2"/>
  <c r="C76" i="2"/>
  <c r="G75" i="2"/>
  <c r="F75" i="2"/>
  <c r="E75" i="2"/>
  <c r="D75" i="2"/>
  <c r="C75" i="2"/>
  <c r="G74" i="2"/>
  <c r="F74" i="2"/>
  <c r="E74" i="2"/>
  <c r="D74" i="2"/>
  <c r="C74" i="2"/>
  <c r="G73" i="2"/>
  <c r="F73" i="2"/>
  <c r="E73" i="2"/>
  <c r="D73" i="2"/>
  <c r="C73" i="2"/>
  <c r="G71" i="2"/>
  <c r="F71" i="2"/>
  <c r="E71" i="2"/>
  <c r="D71" i="2"/>
  <c r="C71" i="2"/>
  <c r="G70" i="2"/>
  <c r="F70" i="2"/>
  <c r="E70" i="2"/>
  <c r="D70" i="2"/>
  <c r="C70" i="2"/>
  <c r="G69" i="2"/>
  <c r="F69" i="2"/>
  <c r="E69" i="2"/>
  <c r="D69" i="2"/>
  <c r="C69" i="2"/>
  <c r="G68" i="2"/>
  <c r="F68" i="2"/>
  <c r="E68" i="2"/>
  <c r="D68" i="2"/>
  <c r="C68" i="2"/>
  <c r="G67" i="2"/>
  <c r="F67" i="2"/>
  <c r="E67" i="2"/>
  <c r="D67" i="2"/>
  <c r="C67" i="2"/>
  <c r="G65" i="2"/>
  <c r="F65" i="2"/>
  <c r="E65" i="2"/>
  <c r="D65" i="2"/>
  <c r="C65" i="2"/>
  <c r="G64" i="2"/>
  <c r="F64" i="2"/>
  <c r="E64" i="2"/>
  <c r="D64" i="2"/>
  <c r="C64" i="2"/>
  <c r="G63" i="2"/>
  <c r="F63" i="2"/>
  <c r="E63" i="2"/>
  <c r="D63" i="2"/>
  <c r="C63" i="2"/>
  <c r="G62" i="2"/>
  <c r="F62" i="2"/>
  <c r="E62" i="2"/>
  <c r="D62" i="2"/>
  <c r="C62" i="2"/>
  <c r="G61" i="2"/>
  <c r="F61" i="2"/>
  <c r="E61" i="2"/>
  <c r="D61" i="2"/>
  <c r="C61" i="2"/>
  <c r="G59" i="2"/>
  <c r="F59" i="2"/>
  <c r="E59" i="2"/>
  <c r="D59" i="2"/>
  <c r="C59" i="2"/>
  <c r="G58" i="2"/>
  <c r="F58" i="2"/>
  <c r="E58" i="2"/>
  <c r="D58" i="2"/>
  <c r="C58" i="2"/>
  <c r="G57" i="2"/>
  <c r="F57" i="2"/>
  <c r="E57" i="2"/>
  <c r="D57" i="2"/>
  <c r="C57" i="2"/>
  <c r="G56" i="2"/>
  <c r="F56" i="2"/>
  <c r="E56" i="2"/>
  <c r="D56" i="2"/>
  <c r="C56" i="2"/>
  <c r="G55" i="2"/>
  <c r="F55" i="2"/>
  <c r="E55" i="2"/>
  <c r="D55" i="2"/>
  <c r="C55" i="2"/>
  <c r="F121" i="2" l="1"/>
  <c r="G109" i="2"/>
  <c r="G119" i="2"/>
  <c r="E122" i="2"/>
  <c r="E147" i="2"/>
  <c r="D131" i="2"/>
  <c r="G136" i="2"/>
  <c r="F112" i="2"/>
  <c r="C132" i="2"/>
  <c r="C133" i="2"/>
  <c r="C124" i="2"/>
  <c r="C107" i="2"/>
  <c r="C108" i="2"/>
  <c r="C134" i="2"/>
  <c r="C120" i="2"/>
  <c r="C146" i="2"/>
  <c r="C130" i="2"/>
  <c r="C121" i="2"/>
  <c r="C111" i="2"/>
  <c r="C112" i="2"/>
  <c r="C148" i="2"/>
  <c r="F118" i="2"/>
  <c r="G106" i="2"/>
  <c r="E143" i="2"/>
  <c r="D108" i="2"/>
  <c r="G132" i="2"/>
  <c r="D135" i="2"/>
  <c r="G123" i="2"/>
  <c r="F106" i="2"/>
  <c r="E131" i="2"/>
  <c r="G146" i="2"/>
  <c r="F135" i="2"/>
  <c r="D130" i="2"/>
  <c r="G130" i="2"/>
  <c r="D107" i="2"/>
  <c r="D109" i="2"/>
  <c r="G135" i="2"/>
  <c r="E130" i="2"/>
  <c r="F132" i="2"/>
  <c r="E121" i="2"/>
  <c r="G118" i="2"/>
  <c r="E118" i="2"/>
  <c r="F131" i="2"/>
  <c r="E108" i="2"/>
  <c r="F108" i="2"/>
  <c r="D121" i="2"/>
  <c r="E109" i="2"/>
  <c r="F110" i="2"/>
  <c r="E135" i="2"/>
  <c r="D124" i="2"/>
  <c r="G148" i="2"/>
  <c r="G131" i="2"/>
  <c r="F144" i="2"/>
  <c r="D120" i="2"/>
  <c r="E145" i="2"/>
  <c r="D134" i="2"/>
  <c r="G122" i="2"/>
  <c r="D111" i="2"/>
  <c r="E112" i="2"/>
  <c r="F148" i="2"/>
  <c r="G144" i="2"/>
  <c r="F109" i="2"/>
  <c r="E134" i="2"/>
  <c r="D147" i="2"/>
  <c r="F136" i="2"/>
  <c r="C106" i="2"/>
  <c r="E107" i="2"/>
  <c r="G108" i="2"/>
  <c r="C110" i="2"/>
  <c r="E111" i="2"/>
  <c r="G112" i="2"/>
  <c r="C119" i="2"/>
  <c r="E120" i="2"/>
  <c r="G121" i="2"/>
  <c r="C123" i="2"/>
  <c r="E124" i="2"/>
  <c r="E133" i="2"/>
  <c r="G134" i="2"/>
  <c r="C136" i="2"/>
  <c r="E142" i="2"/>
  <c r="G143" i="2"/>
  <c r="C145" i="2"/>
  <c r="E146" i="2"/>
  <c r="G147" i="2"/>
  <c r="F134" i="2"/>
  <c r="D146" i="2"/>
  <c r="D106" i="2"/>
  <c r="F107" i="2"/>
  <c r="D110" i="2"/>
  <c r="F111" i="2"/>
  <c r="D119" i="2"/>
  <c r="F120" i="2"/>
  <c r="D123" i="2"/>
  <c r="F124" i="2"/>
  <c r="D132" i="2"/>
  <c r="F133" i="2"/>
  <c r="D136" i="2"/>
  <c r="F142" i="2"/>
  <c r="D145" i="2"/>
  <c r="F130" i="2"/>
  <c r="D133" i="2"/>
  <c r="F143" i="2"/>
  <c r="F147" i="2"/>
  <c r="F146" i="2"/>
  <c r="E106" i="2"/>
  <c r="G107" i="2"/>
  <c r="C109" i="2"/>
  <c r="E110" i="2"/>
  <c r="G111" i="2"/>
  <c r="C118" i="2"/>
  <c r="E119" i="2"/>
  <c r="G120" i="2"/>
  <c r="C122" i="2"/>
  <c r="E123" i="2"/>
  <c r="G124" i="2"/>
  <c r="C131" i="2"/>
  <c r="E132" i="2"/>
  <c r="G133" i="2"/>
  <c r="C135" i="2"/>
  <c r="E136" i="2"/>
  <c r="G142" i="2"/>
  <c r="C144" i="2"/>
  <c r="D118" i="2"/>
  <c r="F119" i="2"/>
  <c r="D122" i="2"/>
  <c r="F123" i="2"/>
  <c r="D144" i="2"/>
  <c r="F145" i="2"/>
  <c r="D148" i="2"/>
  <c r="E148" i="2"/>
  <c r="C143" i="2"/>
  <c r="E144" i="2"/>
  <c r="C147" i="2"/>
  <c r="G145" i="2"/>
</calcChain>
</file>

<file path=xl/sharedStrings.xml><?xml version="1.0" encoding="utf-8"?>
<sst xmlns="http://schemas.openxmlformats.org/spreadsheetml/2006/main" count="814" uniqueCount="56">
  <si>
    <t>Raw Weights (gms)</t>
  </si>
  <si>
    <t>Sample</t>
  </si>
  <si>
    <t>time (min)</t>
  </si>
  <si>
    <t>Absorbed weights per unit area (gm/cm^2)</t>
  </si>
  <si>
    <t>MEAN VALUES - Absorbed weights per unit area (gm/cm^2)</t>
  </si>
  <si>
    <t>RMS - Absorbed weights per unit area (gm/cm^2)</t>
  </si>
  <si>
    <t>MEAN VALUES - Absorbed weights per dry paper weigth (gm/gm)</t>
  </si>
  <si>
    <t>HelloFresh</t>
  </si>
  <si>
    <t>Stock @ Room Temp</t>
  </si>
  <si>
    <t>DI Water @ 100°C</t>
  </si>
  <si>
    <t xml:space="preserve">0.1% GO @ 100°C </t>
  </si>
  <si>
    <t>25% WBBC @ 100°C</t>
  </si>
  <si>
    <t>25% WBBC + 0.1% GO @ 100°C</t>
  </si>
  <si>
    <t>MEAN VALUES - Absorbed weights per unit area (gm/m^2)</t>
  </si>
  <si>
    <t>RMS - Absorbed weights per unit area (gm/m^2)</t>
  </si>
  <si>
    <t>MEAN VALUES - Absorbed weights per dry paper weight (gm/gm)</t>
  </si>
  <si>
    <t>Metsä EB</t>
  </si>
  <si>
    <t>DI Water Gloss @ 100°C</t>
  </si>
  <si>
    <t>DI Water Matte @ 100°C</t>
  </si>
  <si>
    <t xml:space="preserve">0.1% GO Gloss @ 100°C </t>
  </si>
  <si>
    <t xml:space="preserve">0.1% GO Matte @ 100°C </t>
  </si>
  <si>
    <t xml:space="preserve"> </t>
  </si>
  <si>
    <t>RMS - Absorbed weights per unit area (gm/gm)</t>
  </si>
  <si>
    <t>5% WBBC @ 100°C</t>
  </si>
  <si>
    <t>15% WBBC @ 100°C</t>
  </si>
  <si>
    <t>5% WBBC + 0.1% GO @ 100°C</t>
  </si>
  <si>
    <t>15% WBBC + 0.1% GO @ 100°C</t>
  </si>
  <si>
    <t>1% WBBC + 0.1% GO @ 100°C</t>
  </si>
  <si>
    <t>1% WBBC @ 100°C</t>
  </si>
  <si>
    <t>0.2% GO @ 100°C</t>
  </si>
  <si>
    <t>0.5% GO @ 100°C</t>
  </si>
  <si>
    <t>0.2 wt% GO @ 100°C</t>
  </si>
  <si>
    <t>0.5 wt% GO @ 100°C</t>
  </si>
  <si>
    <t>stock</t>
  </si>
  <si>
    <t>DI</t>
  </si>
  <si>
    <t xml:space="preserve">0.15% GO @ 100°C </t>
  </si>
  <si>
    <t>0.35 wt% GO @ 100°C</t>
  </si>
  <si>
    <t>Thickness of Coupons (mm)</t>
  </si>
  <si>
    <t>Time</t>
  </si>
  <si>
    <t>Coating</t>
  </si>
  <si>
    <t>Stock</t>
  </si>
  <si>
    <t>DI Water</t>
  </si>
  <si>
    <t>0.1% GO</t>
  </si>
  <si>
    <t>0.15% GO</t>
  </si>
  <si>
    <t>0.35% GO</t>
  </si>
  <si>
    <t>0.5% GO</t>
  </si>
  <si>
    <t>1% WBBC</t>
  </si>
  <si>
    <t>5% WBBC</t>
  </si>
  <si>
    <t>15% WBBC</t>
  </si>
  <si>
    <t>25% WBBC</t>
  </si>
  <si>
    <t>Raw Weight</t>
  </si>
  <si>
    <t>0.20% GO</t>
  </si>
  <si>
    <t>25% WBBC + 0.1% GO</t>
  </si>
  <si>
    <t>Absorption</t>
  </si>
  <si>
    <t>RMS</t>
  </si>
  <si>
    <t>0.2%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</si>
</sst>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0.00000000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165" fontId="5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0" fontId="1" fillId="0" borderId="0" xfId="0" applyFont="1"/>
    <xf numFmtId="0" fontId="3" fillId="0" borderId="0" xfId="0" applyFont="1"/>
    <xf numFmtId="165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5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HelloFresh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'Crayola Method'!$C$115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1270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4.6949868287186766E-2</c:v>
                  </c:pt>
                  <c:pt idx="2">
                    <c:v>7.4173658161670319E-2</c:v>
                  </c:pt>
                  <c:pt idx="3">
                    <c:v>6.6945924520680308E-2</c:v>
                  </c:pt>
                  <c:pt idx="4">
                    <c:v>5.9489887170040556E-2</c:v>
                  </c:pt>
                  <c:pt idx="5">
                    <c:v>7.1484921233123777E-2</c:v>
                  </c:pt>
                  <c:pt idx="6">
                    <c:v>6.372991983639599E-2</c:v>
                  </c:pt>
                </c:numCache>
              </c:numRef>
            </c:plus>
            <c:minus>
              <c:numRef>
                <c:f>'Boat Method'!$E$142:$E$148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4.6949868287186766E-2</c:v>
                  </c:pt>
                  <c:pt idx="2">
                    <c:v>7.4173658161670319E-2</c:v>
                  </c:pt>
                  <c:pt idx="3">
                    <c:v>6.6945924520680308E-2</c:v>
                  </c:pt>
                  <c:pt idx="4">
                    <c:v>5.9489887170040556E-2</c:v>
                  </c:pt>
                  <c:pt idx="5">
                    <c:v>7.1484921233123777E-2</c:v>
                  </c:pt>
                  <c:pt idx="6">
                    <c:v>6.372991983639599E-2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Method'!$C$116:$C$122</c:f>
              <c:numCache>
                <c:formatCode>0.0000</c:formatCode>
                <c:ptCount val="7"/>
                <c:pt idx="0">
                  <c:v>0</c:v>
                </c:pt>
                <c:pt idx="1">
                  <c:v>0.36263418997388036</c:v>
                </c:pt>
                <c:pt idx="2">
                  <c:v>0.45558374769281718</c:v>
                </c:pt>
                <c:pt idx="3">
                  <c:v>0.52496862880695305</c:v>
                </c:pt>
                <c:pt idx="4">
                  <c:v>0.6074449969237562</c:v>
                </c:pt>
                <c:pt idx="5">
                  <c:v>0.67813902673815907</c:v>
                </c:pt>
                <c:pt idx="6">
                  <c:v>0.7226500825472274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B4-0F42-A7A3-792C4043331D}"/>
            </c:ext>
          </c:extLst>
        </c:ser>
        <c:ser>
          <c:idx val="0"/>
          <c:order val="1"/>
          <c:tx>
            <c:strRef>
              <c:f>'Crayola Method'!$D$115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plus>
            <c:min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Method'!$D$116:$D$122</c:f>
              <c:numCache>
                <c:formatCode>0.0000</c:formatCode>
                <c:ptCount val="7"/>
                <c:pt idx="0">
                  <c:v>0</c:v>
                </c:pt>
                <c:pt idx="1">
                  <c:v>1.2842575899902906</c:v>
                </c:pt>
                <c:pt idx="2">
                  <c:v>1.4526011866920963</c:v>
                </c:pt>
                <c:pt idx="3">
                  <c:v>1.555902939213659</c:v>
                </c:pt>
                <c:pt idx="4">
                  <c:v>1.6643060128473974</c:v>
                </c:pt>
                <c:pt idx="5">
                  <c:v>1.7650571048128718</c:v>
                </c:pt>
                <c:pt idx="6">
                  <c:v>1.8492289031637743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EB4-0F42-A7A3-792C4043331D}"/>
            </c:ext>
          </c:extLst>
        </c:ser>
        <c:ser>
          <c:idx val="2"/>
          <c:order val="2"/>
          <c:tx>
            <c:strRef>
              <c:f>'Crayola Method'!$E$115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Method'!$E$126:$E$132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0.16624250485655565</c:v>
                  </c:pt>
                  <c:pt idx="2">
                    <c:v>0.20652115631569598</c:v>
                  </c:pt>
                  <c:pt idx="3">
                    <c:v>0.21262333047743534</c:v>
                  </c:pt>
                  <c:pt idx="4">
                    <c:v>0.21358159419560102</c:v>
                  </c:pt>
                  <c:pt idx="5">
                    <c:v>0.21986622878686393</c:v>
                  </c:pt>
                  <c:pt idx="6">
                    <c:v>0.23743926915776672</c:v>
                  </c:pt>
                </c:numCache>
              </c:numRef>
            </c:plus>
            <c:minus>
              <c:numRef>
                <c:f>'Crayola Method'!$E$126:$E$132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0.16624250485655565</c:v>
                  </c:pt>
                  <c:pt idx="2">
                    <c:v>0.20652115631569598</c:v>
                  </c:pt>
                  <c:pt idx="3">
                    <c:v>0.21262333047743534</c:v>
                  </c:pt>
                  <c:pt idx="4">
                    <c:v>0.21358159419560102</c:v>
                  </c:pt>
                  <c:pt idx="5">
                    <c:v>0.21986622878686393</c:v>
                  </c:pt>
                  <c:pt idx="6">
                    <c:v>0.23743926915776672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Method'!$E$116:$E$122</c:f>
              <c:numCache>
                <c:formatCode>0.0000</c:formatCode>
                <c:ptCount val="7"/>
                <c:pt idx="0">
                  <c:v>0</c:v>
                </c:pt>
                <c:pt idx="1">
                  <c:v>0.53136824864925936</c:v>
                </c:pt>
                <c:pt idx="2">
                  <c:v>0.60474767346272862</c:v>
                </c:pt>
                <c:pt idx="3">
                  <c:v>0.74012006061861146</c:v>
                </c:pt>
                <c:pt idx="4">
                  <c:v>0.77807493552213003</c:v>
                </c:pt>
                <c:pt idx="5">
                  <c:v>0.83627241037419175</c:v>
                </c:pt>
                <c:pt idx="6">
                  <c:v>0.86790147279379037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EB4-0F42-A7A3-792C4043331D}"/>
            </c:ext>
          </c:extLst>
        </c:ser>
        <c:ser>
          <c:idx val="3"/>
          <c:order val="3"/>
          <c:tx>
            <c:strRef>
              <c:f>'Crayola Method'!$F$115</c:f>
              <c:strCache>
                <c:ptCount val="1"/>
                <c:pt idx="0">
                  <c:v>25% WBBC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Method'!$F$126:$F$132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6.1299876288924684E-3</c:v>
                  </c:pt>
                  <c:pt idx="2">
                    <c:v>1.9971337992688323E-2</c:v>
                  </c:pt>
                  <c:pt idx="3">
                    <c:v>2.1742890306120404E-2</c:v>
                  </c:pt>
                  <c:pt idx="4">
                    <c:v>2.0854352990232052E-2</c:v>
                  </c:pt>
                  <c:pt idx="5">
                    <c:v>1.7538033455127895E-2</c:v>
                  </c:pt>
                  <c:pt idx="6">
                    <c:v>8.4430678079027537E-3</c:v>
                  </c:pt>
                </c:numCache>
              </c:numRef>
            </c:plus>
            <c:minus>
              <c:numRef>
                <c:f>'Crayola Method'!$F$126:$F$132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6.1299876288924684E-3</c:v>
                  </c:pt>
                  <c:pt idx="2">
                    <c:v>1.9971337992688323E-2</c:v>
                  </c:pt>
                  <c:pt idx="3">
                    <c:v>2.1742890306120404E-2</c:v>
                  </c:pt>
                  <c:pt idx="4">
                    <c:v>2.0854352990232052E-2</c:v>
                  </c:pt>
                  <c:pt idx="5">
                    <c:v>1.7538033455127895E-2</c:v>
                  </c:pt>
                  <c:pt idx="6">
                    <c:v>8.4430678079027537E-3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Method'!$F$116:$F$122</c:f>
              <c:numCache>
                <c:formatCode>0.0000</c:formatCode>
                <c:ptCount val="7"/>
                <c:pt idx="0">
                  <c:v>0</c:v>
                </c:pt>
                <c:pt idx="1">
                  <c:v>0.15238585394476423</c:v>
                </c:pt>
                <c:pt idx="2">
                  <c:v>0.21196528556226607</c:v>
                </c:pt>
                <c:pt idx="3">
                  <c:v>0.21998559366462211</c:v>
                </c:pt>
                <c:pt idx="4">
                  <c:v>0.24175500137101705</c:v>
                </c:pt>
                <c:pt idx="5">
                  <c:v>0.24633803457236333</c:v>
                </c:pt>
                <c:pt idx="6">
                  <c:v>0.2623786507770754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EB4-0F42-A7A3-792C4043331D}"/>
            </c:ext>
          </c:extLst>
        </c:ser>
        <c:ser>
          <c:idx val="4"/>
          <c:order val="4"/>
          <c:tx>
            <c:strRef>
              <c:f>'Crayola Method'!$G$115</c:f>
              <c:strCache>
                <c:ptCount val="1"/>
                <c:pt idx="0">
                  <c:v>25% WBBC + 0.1% GO @ 100°C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Method'!$G$126:$G$132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1.7399782326552472E-2</c:v>
                  </c:pt>
                  <c:pt idx="2">
                    <c:v>1.4437977752353722E-2</c:v>
                  </c:pt>
                  <c:pt idx="3">
                    <c:v>2.1708497878206813E-2</c:v>
                  </c:pt>
                  <c:pt idx="4">
                    <c:v>2.2304682440063499E-2</c:v>
                  </c:pt>
                  <c:pt idx="5">
                    <c:v>1.9851295940087905E-2</c:v>
                  </c:pt>
                  <c:pt idx="6">
                    <c:v>2.190523939530617E-2</c:v>
                  </c:pt>
                </c:numCache>
              </c:numRef>
            </c:plus>
            <c:minus>
              <c:numRef>
                <c:f>'Crayola Method'!$G$126:$G$132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1.7399782326552472E-2</c:v>
                  </c:pt>
                  <c:pt idx="2">
                    <c:v>1.4437977752353722E-2</c:v>
                  </c:pt>
                  <c:pt idx="3">
                    <c:v>2.1708497878206813E-2</c:v>
                  </c:pt>
                  <c:pt idx="4">
                    <c:v>2.2304682440063499E-2</c:v>
                  </c:pt>
                  <c:pt idx="5">
                    <c:v>1.9851295940087905E-2</c:v>
                  </c:pt>
                  <c:pt idx="6">
                    <c:v>2.190523939530617E-2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Method'!$G$116:$G$122</c:f>
              <c:numCache>
                <c:formatCode>0.0000</c:formatCode>
                <c:ptCount val="7"/>
                <c:pt idx="0">
                  <c:v>0</c:v>
                </c:pt>
                <c:pt idx="1">
                  <c:v>0.136749895061059</c:v>
                </c:pt>
                <c:pt idx="2">
                  <c:v>0.17822322389105241</c:v>
                </c:pt>
                <c:pt idx="3">
                  <c:v>0.20512484259158867</c:v>
                </c:pt>
                <c:pt idx="4">
                  <c:v>0.21857565194185677</c:v>
                </c:pt>
                <c:pt idx="5">
                  <c:v>0.23875186596725895</c:v>
                </c:pt>
                <c:pt idx="6">
                  <c:v>0.24996087375914905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EB4-0F42-A7A3-792C40433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25194148398456651"/>
          <c:h val="0.184459115137351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HelloFresh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'Crayola Method'!$C$115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1270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Method'!$C$126:$C$132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1.471583741590432E-2</c:v>
                  </c:pt>
                  <c:pt idx="2">
                    <c:v>2.9233485854277881E-2</c:v>
                  </c:pt>
                  <c:pt idx="3">
                    <c:v>4.1538221724016111E-2</c:v>
                  </c:pt>
                  <c:pt idx="4">
                    <c:v>5.4359480760375514E-2</c:v>
                  </c:pt>
                  <c:pt idx="5">
                    <c:v>3.7736197815578493E-2</c:v>
                  </c:pt>
                  <c:pt idx="6">
                    <c:v>6.4353835892082267E-2</c:v>
                  </c:pt>
                </c:numCache>
              </c:numRef>
            </c:plus>
            <c:minus>
              <c:numRef>
                <c:f>'Crayola Method'!$C$126:$C$132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1.471583741590432E-2</c:v>
                  </c:pt>
                  <c:pt idx="2">
                    <c:v>2.9233485854277881E-2</c:v>
                  </c:pt>
                  <c:pt idx="3">
                    <c:v>4.1538221724016111E-2</c:v>
                  </c:pt>
                  <c:pt idx="4">
                    <c:v>5.4359480760375514E-2</c:v>
                  </c:pt>
                  <c:pt idx="5">
                    <c:v>3.7736197815578493E-2</c:v>
                  </c:pt>
                  <c:pt idx="6">
                    <c:v>6.4353835892082267E-2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Method'!$C$116:$C$122</c:f>
              <c:numCache>
                <c:formatCode>0.0000</c:formatCode>
                <c:ptCount val="7"/>
                <c:pt idx="0">
                  <c:v>0</c:v>
                </c:pt>
                <c:pt idx="1">
                  <c:v>0.36263418997388036</c:v>
                </c:pt>
                <c:pt idx="2">
                  <c:v>0.45558374769281718</c:v>
                </c:pt>
                <c:pt idx="3">
                  <c:v>0.52496862880695305</c:v>
                </c:pt>
                <c:pt idx="4">
                  <c:v>0.6074449969237562</c:v>
                </c:pt>
                <c:pt idx="5">
                  <c:v>0.67813902673815907</c:v>
                </c:pt>
                <c:pt idx="6">
                  <c:v>0.7226500825472274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F7-2B46-831F-CFE5F5B85C7A}"/>
            </c:ext>
          </c:extLst>
        </c:ser>
        <c:ser>
          <c:idx val="2"/>
          <c:order val="1"/>
          <c:tx>
            <c:strRef>
              <c:f>'Crayola Method'!$E$115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Method'!$E$116:$E$122</c:f>
              <c:numCache>
                <c:formatCode>0.0000</c:formatCode>
                <c:ptCount val="7"/>
                <c:pt idx="0">
                  <c:v>0</c:v>
                </c:pt>
                <c:pt idx="1">
                  <c:v>0.53136824864925936</c:v>
                </c:pt>
                <c:pt idx="2">
                  <c:v>0.60474767346272862</c:v>
                </c:pt>
                <c:pt idx="3">
                  <c:v>0.74012006061861146</c:v>
                </c:pt>
                <c:pt idx="4">
                  <c:v>0.77807493552213003</c:v>
                </c:pt>
                <c:pt idx="5">
                  <c:v>0.83627241037419175</c:v>
                </c:pt>
                <c:pt idx="6">
                  <c:v>0.86790147279379037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7-2B46-831F-CFE5F5B85C7A}"/>
            </c:ext>
          </c:extLst>
        </c:ser>
        <c:ser>
          <c:idx val="3"/>
          <c:order val="2"/>
          <c:tx>
            <c:strRef>
              <c:f>'Crayola Method'!$F$115</c:f>
              <c:strCache>
                <c:ptCount val="1"/>
                <c:pt idx="0">
                  <c:v>25% WBBC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Method'!$F$126:$F$132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6.1299876288924684E-3</c:v>
                  </c:pt>
                  <c:pt idx="2">
                    <c:v>1.9971337992688323E-2</c:v>
                  </c:pt>
                  <c:pt idx="3">
                    <c:v>2.1742890306120404E-2</c:v>
                  </c:pt>
                  <c:pt idx="4">
                    <c:v>2.0854352990232052E-2</c:v>
                  </c:pt>
                  <c:pt idx="5">
                    <c:v>1.7538033455127895E-2</c:v>
                  </c:pt>
                  <c:pt idx="6">
                    <c:v>8.4430678079027537E-3</c:v>
                  </c:pt>
                </c:numCache>
              </c:numRef>
            </c:plus>
            <c:minus>
              <c:numRef>
                <c:f>'Crayola Method'!$F$126:$F$132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6.1299876288924684E-3</c:v>
                  </c:pt>
                  <c:pt idx="2">
                    <c:v>1.9971337992688323E-2</c:v>
                  </c:pt>
                  <c:pt idx="3">
                    <c:v>2.1742890306120404E-2</c:v>
                  </c:pt>
                  <c:pt idx="4">
                    <c:v>2.0854352990232052E-2</c:v>
                  </c:pt>
                  <c:pt idx="5">
                    <c:v>1.7538033455127895E-2</c:v>
                  </c:pt>
                  <c:pt idx="6">
                    <c:v>8.4430678079027537E-3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Method'!$F$116:$F$122</c:f>
              <c:numCache>
                <c:formatCode>0.0000</c:formatCode>
                <c:ptCount val="7"/>
                <c:pt idx="0">
                  <c:v>0</c:v>
                </c:pt>
                <c:pt idx="1">
                  <c:v>0.15238585394476423</c:v>
                </c:pt>
                <c:pt idx="2">
                  <c:v>0.21196528556226607</c:v>
                </c:pt>
                <c:pt idx="3">
                  <c:v>0.21998559366462211</c:v>
                </c:pt>
                <c:pt idx="4">
                  <c:v>0.24175500137101705</c:v>
                </c:pt>
                <c:pt idx="5">
                  <c:v>0.24633803457236333</c:v>
                </c:pt>
                <c:pt idx="6">
                  <c:v>0.2623786507770754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7-2B46-831F-CFE5F5B85C7A}"/>
            </c:ext>
          </c:extLst>
        </c:ser>
        <c:ser>
          <c:idx val="4"/>
          <c:order val="3"/>
          <c:tx>
            <c:strRef>
              <c:f>'Crayola Method'!$G$115</c:f>
              <c:strCache>
                <c:ptCount val="1"/>
                <c:pt idx="0">
                  <c:v>25% WBBC + 0.1% GO @ 100°C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Method'!$G$126:$G$132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1.7399782326552472E-2</c:v>
                  </c:pt>
                  <c:pt idx="2">
                    <c:v>1.4437977752353722E-2</c:v>
                  </c:pt>
                  <c:pt idx="3">
                    <c:v>2.1708497878206813E-2</c:v>
                  </c:pt>
                  <c:pt idx="4">
                    <c:v>2.2304682440063499E-2</c:v>
                  </c:pt>
                  <c:pt idx="5">
                    <c:v>1.9851295940087905E-2</c:v>
                  </c:pt>
                  <c:pt idx="6">
                    <c:v>2.190523939530617E-2</c:v>
                  </c:pt>
                </c:numCache>
              </c:numRef>
            </c:plus>
            <c:minus>
              <c:numRef>
                <c:f>'Crayola Method'!$G$126:$G$132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1.7399782326552472E-2</c:v>
                  </c:pt>
                  <c:pt idx="2">
                    <c:v>1.4437977752353722E-2</c:v>
                  </c:pt>
                  <c:pt idx="3">
                    <c:v>2.1708497878206813E-2</c:v>
                  </c:pt>
                  <c:pt idx="4">
                    <c:v>2.2304682440063499E-2</c:v>
                  </c:pt>
                  <c:pt idx="5">
                    <c:v>1.9851295940087905E-2</c:v>
                  </c:pt>
                  <c:pt idx="6">
                    <c:v>2.190523939530617E-2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Method'!$G$116:$G$122</c:f>
              <c:numCache>
                <c:formatCode>0.0000</c:formatCode>
                <c:ptCount val="7"/>
                <c:pt idx="0">
                  <c:v>0</c:v>
                </c:pt>
                <c:pt idx="1">
                  <c:v>0.136749895061059</c:v>
                </c:pt>
                <c:pt idx="2">
                  <c:v>0.17822322389105241</c:v>
                </c:pt>
                <c:pt idx="3">
                  <c:v>0.20512484259158867</c:v>
                </c:pt>
                <c:pt idx="4">
                  <c:v>0.21857565194185677</c:v>
                </c:pt>
                <c:pt idx="5">
                  <c:v>0.23875186596725895</c:v>
                </c:pt>
                <c:pt idx="6">
                  <c:v>0.24996087375914905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7-2B46-831F-CFE5F5B85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25194148398456651"/>
          <c:h val="0.184459115137351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HelloFresh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803245811423017E-2"/>
          <c:y val="9.46645193353748E-2"/>
          <c:w val="0.65527772085349723"/>
          <c:h val="0.79860076204073915"/>
        </c:manualLayout>
      </c:layout>
      <c:scatterChart>
        <c:scatterStyle val="lineMarker"/>
        <c:varyColors val="0"/>
        <c:ser>
          <c:idx val="0"/>
          <c:order val="0"/>
          <c:tx>
            <c:strRef>
              <c:f>'Crayola Method'!$D$115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plus>
            <c:min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Method'!$D$116:$D$122</c:f>
              <c:numCache>
                <c:formatCode>0.0000</c:formatCode>
                <c:ptCount val="7"/>
                <c:pt idx="0">
                  <c:v>0</c:v>
                </c:pt>
                <c:pt idx="1">
                  <c:v>1.2842575899902906</c:v>
                </c:pt>
                <c:pt idx="2">
                  <c:v>1.4526011866920963</c:v>
                </c:pt>
                <c:pt idx="3">
                  <c:v>1.555902939213659</c:v>
                </c:pt>
                <c:pt idx="4">
                  <c:v>1.6643060128473974</c:v>
                </c:pt>
                <c:pt idx="5">
                  <c:v>1.7650571048128718</c:v>
                </c:pt>
                <c:pt idx="6">
                  <c:v>1.8492289031637743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17-0C40-A336-DC43E34E7B51}"/>
            </c:ext>
          </c:extLst>
        </c:ser>
        <c:ser>
          <c:idx val="1"/>
          <c:order val="1"/>
          <c:tx>
            <c:strRef>
              <c:f>'Crayola Method'!$E$115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Method'!$E$116:$E$122</c:f>
              <c:numCache>
                <c:formatCode>0.0000</c:formatCode>
                <c:ptCount val="7"/>
                <c:pt idx="0">
                  <c:v>0</c:v>
                </c:pt>
                <c:pt idx="1">
                  <c:v>0.53136824864925936</c:v>
                </c:pt>
                <c:pt idx="2">
                  <c:v>0.60474767346272862</c:v>
                </c:pt>
                <c:pt idx="3">
                  <c:v>0.74012006061861146</c:v>
                </c:pt>
                <c:pt idx="4">
                  <c:v>0.77807493552213003</c:v>
                </c:pt>
                <c:pt idx="5">
                  <c:v>0.83627241037419175</c:v>
                </c:pt>
                <c:pt idx="6">
                  <c:v>0.86790147279379037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17-0C40-A336-DC43E34E7B51}"/>
            </c:ext>
          </c:extLst>
        </c:ser>
        <c:ser>
          <c:idx val="2"/>
          <c:order val="2"/>
          <c:tx>
            <c:strRef>
              <c:f>'Crayola Method'!$H$115</c:f>
              <c:strCache>
                <c:ptCount val="1"/>
                <c:pt idx="0">
                  <c:v>5% WBBC @ 100°C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Method'!$H$126:$H$132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6.7712078369025125E-2</c:v>
                  </c:pt>
                  <c:pt idx="2">
                    <c:v>5.7554243312874676E-2</c:v>
                  </c:pt>
                  <c:pt idx="3">
                    <c:v>7.2078435918748809E-2</c:v>
                  </c:pt>
                  <c:pt idx="4">
                    <c:v>7.2893597269846247E-2</c:v>
                  </c:pt>
                  <c:pt idx="5">
                    <c:v>6.5478378481766714E-2</c:v>
                  </c:pt>
                  <c:pt idx="6">
                    <c:v>6.5225779601365372E-2</c:v>
                  </c:pt>
                </c:numCache>
              </c:numRef>
            </c:plus>
            <c:minus>
              <c:numRef>
                <c:f>'Crayola Method'!$H$126:$H$132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6.7712078369025125E-2</c:v>
                  </c:pt>
                  <c:pt idx="2">
                    <c:v>5.7554243312874676E-2</c:v>
                  </c:pt>
                  <c:pt idx="3">
                    <c:v>7.2078435918748809E-2</c:v>
                  </c:pt>
                  <c:pt idx="4">
                    <c:v>7.2893597269846247E-2</c:v>
                  </c:pt>
                  <c:pt idx="5">
                    <c:v>6.5478378481766714E-2</c:v>
                  </c:pt>
                  <c:pt idx="6">
                    <c:v>6.5225779601365372E-2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Method'!$H$116:$H$122</c:f>
              <c:numCache>
                <c:formatCode>0.0000</c:formatCode>
                <c:ptCount val="7"/>
                <c:pt idx="0">
                  <c:v>0</c:v>
                </c:pt>
                <c:pt idx="1">
                  <c:v>0.24421680734330528</c:v>
                </c:pt>
                <c:pt idx="2">
                  <c:v>0.27536691032076754</c:v>
                </c:pt>
                <c:pt idx="3">
                  <c:v>0.27661291443986602</c:v>
                </c:pt>
                <c:pt idx="4">
                  <c:v>0.2778589185589645</c:v>
                </c:pt>
                <c:pt idx="5">
                  <c:v>0.28658094739265388</c:v>
                </c:pt>
                <c:pt idx="6">
                  <c:v>0.30527100917913141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217-0C40-A336-DC43E34E7B51}"/>
            </c:ext>
          </c:extLst>
        </c:ser>
        <c:ser>
          <c:idx val="3"/>
          <c:order val="3"/>
          <c:tx>
            <c:strRef>
              <c:f>'Crayola Method'!$J$115</c:f>
              <c:strCache>
                <c:ptCount val="1"/>
                <c:pt idx="0">
                  <c:v>5% WBBC + 0.1% GO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Method'!$J$126:$J$132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3.1542561599785031E-2</c:v>
                  </c:pt>
                  <c:pt idx="2">
                    <c:v>2.5464729524966433E-2</c:v>
                  </c:pt>
                  <c:pt idx="3">
                    <c:v>1.9050390349140429E-2</c:v>
                  </c:pt>
                  <c:pt idx="4">
                    <c:v>8.5281948696872209E-3</c:v>
                  </c:pt>
                  <c:pt idx="5">
                    <c:v>1.050966761395215E-2</c:v>
                  </c:pt>
                  <c:pt idx="6">
                    <c:v>1.0169077718660846E-2</c:v>
                  </c:pt>
                </c:numCache>
              </c:numRef>
            </c:plus>
            <c:minus>
              <c:numRef>
                <c:f>'Crayola Method'!$J$126:$J$132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3.1542561599785031E-2</c:v>
                  </c:pt>
                  <c:pt idx="2">
                    <c:v>2.5464729524966433E-2</c:v>
                  </c:pt>
                  <c:pt idx="3">
                    <c:v>1.9050390349140429E-2</c:v>
                  </c:pt>
                  <c:pt idx="4">
                    <c:v>8.5281948696872209E-3</c:v>
                  </c:pt>
                  <c:pt idx="5">
                    <c:v>1.050966761395215E-2</c:v>
                  </c:pt>
                  <c:pt idx="6">
                    <c:v>1.0169077718660846E-2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Method'!$J$116:$J$122</c:f>
              <c:numCache>
                <c:formatCode>0.0000</c:formatCode>
                <c:ptCount val="7"/>
                <c:pt idx="0">
                  <c:v>0</c:v>
                </c:pt>
                <c:pt idx="1">
                  <c:v>0.22741046831955949</c:v>
                </c:pt>
                <c:pt idx="2">
                  <c:v>0.24115505706414825</c:v>
                </c:pt>
                <c:pt idx="3">
                  <c:v>0.25614915387642684</c:v>
                </c:pt>
                <c:pt idx="4">
                  <c:v>0.25365013774104711</c:v>
                </c:pt>
                <c:pt idx="5">
                  <c:v>0.25614915387642684</c:v>
                </c:pt>
                <c:pt idx="6">
                  <c:v>0.26489571035025611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217-0C40-A336-DC43E34E7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23146230443122823"/>
          <c:h val="0.148005257417136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HelloFresh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803245811423017E-2"/>
          <c:y val="9.46645193353748E-2"/>
          <c:w val="0.65527772085349723"/>
          <c:h val="0.79860076204073915"/>
        </c:manualLayout>
      </c:layout>
      <c:scatterChart>
        <c:scatterStyle val="lineMarker"/>
        <c:varyColors val="0"/>
        <c:ser>
          <c:idx val="0"/>
          <c:order val="0"/>
          <c:tx>
            <c:strRef>
              <c:f>'Crayola Method'!$D$115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plus>
            <c:min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Method'!$D$116:$D$122</c:f>
              <c:numCache>
                <c:formatCode>0.0000</c:formatCode>
                <c:ptCount val="7"/>
                <c:pt idx="0">
                  <c:v>0</c:v>
                </c:pt>
                <c:pt idx="1">
                  <c:v>1.2842575899902906</c:v>
                </c:pt>
                <c:pt idx="2">
                  <c:v>1.4526011866920963</c:v>
                </c:pt>
                <c:pt idx="3">
                  <c:v>1.555902939213659</c:v>
                </c:pt>
                <c:pt idx="4">
                  <c:v>1.6643060128473974</c:v>
                </c:pt>
                <c:pt idx="5">
                  <c:v>1.7650571048128718</c:v>
                </c:pt>
                <c:pt idx="6">
                  <c:v>1.8492289031637743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07-154A-B78D-112A44EEED22}"/>
            </c:ext>
          </c:extLst>
        </c:ser>
        <c:ser>
          <c:idx val="1"/>
          <c:order val="1"/>
          <c:tx>
            <c:strRef>
              <c:f>'Crayola Method'!$E$115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Method'!$E$116:$E$122</c:f>
              <c:numCache>
                <c:formatCode>0.0000</c:formatCode>
                <c:ptCount val="7"/>
                <c:pt idx="0">
                  <c:v>0</c:v>
                </c:pt>
                <c:pt idx="1">
                  <c:v>0.53136824864925936</c:v>
                </c:pt>
                <c:pt idx="2">
                  <c:v>0.60474767346272862</c:v>
                </c:pt>
                <c:pt idx="3">
                  <c:v>0.74012006061861146</c:v>
                </c:pt>
                <c:pt idx="4">
                  <c:v>0.77807493552213003</c:v>
                </c:pt>
                <c:pt idx="5">
                  <c:v>0.83627241037419175</c:v>
                </c:pt>
                <c:pt idx="6">
                  <c:v>0.86790147279379037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07-154A-B78D-112A44EEED22}"/>
            </c:ext>
          </c:extLst>
        </c:ser>
        <c:ser>
          <c:idx val="2"/>
          <c:order val="2"/>
          <c:tx>
            <c:strRef>
              <c:f>'Crayola Method'!$I$115</c:f>
              <c:strCache>
                <c:ptCount val="1"/>
                <c:pt idx="0">
                  <c:v>15% WBBC @ 100°C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Method'!$I$126:$I$132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1.5109488725754796E-2</c:v>
                  </c:pt>
                  <c:pt idx="2">
                    <c:v>1.079298304712263E-2</c:v>
                  </c:pt>
                  <c:pt idx="3">
                    <c:v>1.1675444445264659E-2</c:v>
                  </c:pt>
                  <c:pt idx="4">
                    <c:v>8.6383431409185352E-3</c:v>
                  </c:pt>
                  <c:pt idx="5">
                    <c:v>6.2230937614232715E-3</c:v>
                  </c:pt>
                  <c:pt idx="6">
                    <c:v>4.8556269145548078E-3</c:v>
                  </c:pt>
                </c:numCache>
              </c:numRef>
            </c:plus>
            <c:minus>
              <c:numRef>
                <c:f>'Crayola Method'!$I$126:$I$132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1.5109488725754796E-2</c:v>
                  </c:pt>
                  <c:pt idx="2">
                    <c:v>1.079298304712263E-2</c:v>
                  </c:pt>
                  <c:pt idx="3">
                    <c:v>1.1675444445264659E-2</c:v>
                  </c:pt>
                  <c:pt idx="4">
                    <c:v>8.6383431409185352E-3</c:v>
                  </c:pt>
                  <c:pt idx="5">
                    <c:v>6.2230937614232715E-3</c:v>
                  </c:pt>
                  <c:pt idx="6">
                    <c:v>4.8556269145548078E-3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Method'!$I$116:$I$122</c:f>
              <c:numCache>
                <c:formatCode>0.0000</c:formatCode>
                <c:ptCount val="7"/>
                <c:pt idx="0">
                  <c:v>0</c:v>
                </c:pt>
                <c:pt idx="1">
                  <c:v>0.20462338697984642</c:v>
                </c:pt>
                <c:pt idx="2">
                  <c:v>0.22898331400125665</c:v>
                </c:pt>
                <c:pt idx="3">
                  <c:v>0.24359927021410271</c:v>
                </c:pt>
                <c:pt idx="4">
                  <c:v>0.26186921548016051</c:v>
                </c:pt>
                <c:pt idx="5">
                  <c:v>0.26430520818230147</c:v>
                </c:pt>
                <c:pt idx="6">
                  <c:v>0.27770316804407713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07-154A-B78D-112A44EEED22}"/>
            </c:ext>
          </c:extLst>
        </c:ser>
        <c:ser>
          <c:idx val="3"/>
          <c:order val="3"/>
          <c:tx>
            <c:strRef>
              <c:f>'Crayola Method'!$K$115</c:f>
              <c:strCache>
                <c:ptCount val="1"/>
                <c:pt idx="0">
                  <c:v>15% WBBC + 0.1% GO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Method'!$K$126:$K$132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1.4935250930074702E-2</c:v>
                  </c:pt>
                  <c:pt idx="2">
                    <c:v>1.32846778599237E-2</c:v>
                  </c:pt>
                  <c:pt idx="3">
                    <c:v>2.5134139640684009E-2</c:v>
                  </c:pt>
                  <c:pt idx="4">
                    <c:v>9.8944850334324024E-3</c:v>
                  </c:pt>
                  <c:pt idx="5">
                    <c:v>1.140740532905064E-2</c:v>
                  </c:pt>
                  <c:pt idx="6">
                    <c:v>1.1373705461017887E-2</c:v>
                  </c:pt>
                </c:numCache>
              </c:numRef>
            </c:plus>
            <c:minus>
              <c:numRef>
                <c:f>'Crayola Method'!$K$126:$K$132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1.4935250930074702E-2</c:v>
                  </c:pt>
                  <c:pt idx="2">
                    <c:v>1.32846778599237E-2</c:v>
                  </c:pt>
                  <c:pt idx="3">
                    <c:v>2.5134139640684009E-2</c:v>
                  </c:pt>
                  <c:pt idx="4">
                    <c:v>9.8944850334324024E-3</c:v>
                  </c:pt>
                  <c:pt idx="5">
                    <c:v>1.140740532905064E-2</c:v>
                  </c:pt>
                  <c:pt idx="6">
                    <c:v>1.1373705461017887E-2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Method'!$K$116:$K$122</c:f>
              <c:numCache>
                <c:formatCode>0.0000</c:formatCode>
                <c:ptCount val="7"/>
                <c:pt idx="0">
                  <c:v>0</c:v>
                </c:pt>
                <c:pt idx="1">
                  <c:v>0.1551960499080213</c:v>
                </c:pt>
                <c:pt idx="2">
                  <c:v>0.22485096994547965</c:v>
                </c:pt>
                <c:pt idx="3">
                  <c:v>0.21263080853539926</c:v>
                </c:pt>
                <c:pt idx="4">
                  <c:v>0.23951516363757619</c:v>
                </c:pt>
                <c:pt idx="5">
                  <c:v>0.25295734118866464</c:v>
                </c:pt>
                <c:pt idx="6">
                  <c:v>0.26028943803471261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07-154A-B78D-112A44EEE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23026753563603933"/>
          <c:h val="0.215620739146959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HelloFresh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803245811423017E-2"/>
          <c:y val="9.46645193353748E-2"/>
          <c:w val="0.65527772085349723"/>
          <c:h val="0.79860076204073915"/>
        </c:manualLayout>
      </c:layout>
      <c:scatterChart>
        <c:scatterStyle val="lineMarker"/>
        <c:varyColors val="0"/>
        <c:ser>
          <c:idx val="0"/>
          <c:order val="0"/>
          <c:tx>
            <c:strRef>
              <c:f>'Crayola Method'!$D$115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plus>
            <c:min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Method'!$D$116:$D$122</c:f>
              <c:numCache>
                <c:formatCode>0.0000</c:formatCode>
                <c:ptCount val="7"/>
                <c:pt idx="0">
                  <c:v>0</c:v>
                </c:pt>
                <c:pt idx="1">
                  <c:v>1.2842575899902906</c:v>
                </c:pt>
                <c:pt idx="2">
                  <c:v>1.4526011866920963</c:v>
                </c:pt>
                <c:pt idx="3">
                  <c:v>1.555902939213659</c:v>
                </c:pt>
                <c:pt idx="4">
                  <c:v>1.6643060128473974</c:v>
                </c:pt>
                <c:pt idx="5">
                  <c:v>1.7650571048128718</c:v>
                </c:pt>
                <c:pt idx="6">
                  <c:v>1.8492289031637743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F9-CF47-B6EF-8C8E5A20F224}"/>
            </c:ext>
          </c:extLst>
        </c:ser>
        <c:ser>
          <c:idx val="1"/>
          <c:order val="1"/>
          <c:tx>
            <c:strRef>
              <c:f>'Crayola Method'!$E$115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Method'!$E$116:$E$122</c:f>
              <c:numCache>
                <c:formatCode>0.0000</c:formatCode>
                <c:ptCount val="7"/>
                <c:pt idx="0">
                  <c:v>0</c:v>
                </c:pt>
                <c:pt idx="1">
                  <c:v>0.53136824864925936</c:v>
                </c:pt>
                <c:pt idx="2">
                  <c:v>0.60474767346272862</c:v>
                </c:pt>
                <c:pt idx="3">
                  <c:v>0.74012006061861146</c:v>
                </c:pt>
                <c:pt idx="4">
                  <c:v>0.77807493552213003</c:v>
                </c:pt>
                <c:pt idx="5">
                  <c:v>0.83627241037419175</c:v>
                </c:pt>
                <c:pt idx="6">
                  <c:v>0.86790147279379037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F9-CF47-B6EF-8C8E5A20F224}"/>
            </c:ext>
          </c:extLst>
        </c:ser>
        <c:ser>
          <c:idx val="2"/>
          <c:order val="2"/>
          <c:tx>
            <c:strRef>
              <c:f>'Crayola Method'!$L$125</c:f>
              <c:strCache>
                <c:ptCount val="1"/>
                <c:pt idx="0">
                  <c:v>1% WBBC @ 100°C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Method'!$L$126:$L$132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1.1944155011027713E-2</c:v>
                  </c:pt>
                  <c:pt idx="2">
                    <c:v>1.4585066211305142E-2</c:v>
                  </c:pt>
                  <c:pt idx="3">
                    <c:v>2.6178200113130334E-2</c:v>
                  </c:pt>
                  <c:pt idx="4">
                    <c:v>1.6250104121243388E-2</c:v>
                  </c:pt>
                  <c:pt idx="5">
                    <c:v>1.2546850299428791E-2</c:v>
                  </c:pt>
                  <c:pt idx="6">
                    <c:v>8.9703862908476137E-3</c:v>
                  </c:pt>
                </c:numCache>
              </c:numRef>
            </c:plus>
            <c:minus>
              <c:numRef>
                <c:f>'Crayola Method'!$L$126:$L$132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1.1944155011027713E-2</c:v>
                  </c:pt>
                  <c:pt idx="2">
                    <c:v>1.4585066211305142E-2</c:v>
                  </c:pt>
                  <c:pt idx="3">
                    <c:v>2.6178200113130334E-2</c:v>
                  </c:pt>
                  <c:pt idx="4">
                    <c:v>1.6250104121243388E-2</c:v>
                  </c:pt>
                  <c:pt idx="5">
                    <c:v>1.2546850299428791E-2</c:v>
                  </c:pt>
                  <c:pt idx="6">
                    <c:v>8.9703862908476137E-3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Method'!$L$116:$L$122</c:f>
              <c:numCache>
                <c:formatCode>0.0000</c:formatCode>
                <c:ptCount val="7"/>
                <c:pt idx="0">
                  <c:v>0</c:v>
                </c:pt>
                <c:pt idx="1">
                  <c:v>0.31925189750306682</c:v>
                </c:pt>
                <c:pt idx="2">
                  <c:v>0.37574503162912393</c:v>
                </c:pt>
                <c:pt idx="3">
                  <c:v>0.41253125850190525</c:v>
                </c:pt>
                <c:pt idx="4">
                  <c:v>0.43486575338895117</c:v>
                </c:pt>
                <c:pt idx="5">
                  <c:v>0.46376921736042209</c:v>
                </c:pt>
                <c:pt idx="6">
                  <c:v>0.5084382071345136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F9-CF47-B6EF-8C8E5A20F224}"/>
            </c:ext>
          </c:extLst>
        </c:ser>
        <c:ser>
          <c:idx val="3"/>
          <c:order val="3"/>
          <c:tx>
            <c:strRef>
              <c:f>'Crayola Method'!$M$115</c:f>
              <c:strCache>
                <c:ptCount val="1"/>
                <c:pt idx="0">
                  <c:v>1% WBBC + 0.1% GO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Method'!$M$126:$M$132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1.3171937345676553E-2</c:v>
                  </c:pt>
                  <c:pt idx="2">
                    <c:v>6.1383537919293381E-3</c:v>
                  </c:pt>
                  <c:pt idx="3">
                    <c:v>1.4032137870410945E-2</c:v>
                  </c:pt>
                  <c:pt idx="4">
                    <c:v>1.4128921721301146E-2</c:v>
                  </c:pt>
                  <c:pt idx="5">
                    <c:v>2.1228789256854477E-2</c:v>
                  </c:pt>
                  <c:pt idx="6">
                    <c:v>2.0457354583900678E-2</c:v>
                  </c:pt>
                </c:numCache>
              </c:numRef>
            </c:plus>
            <c:minus>
              <c:numRef>
                <c:f>'Crayola Method'!$M$126:$M$132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1.3171937345676553E-2</c:v>
                  </c:pt>
                  <c:pt idx="2">
                    <c:v>6.1383537919293381E-3</c:v>
                  </c:pt>
                  <c:pt idx="3">
                    <c:v>1.4032137870410945E-2</c:v>
                  </c:pt>
                  <c:pt idx="4">
                    <c:v>1.4128921721301146E-2</c:v>
                  </c:pt>
                  <c:pt idx="5">
                    <c:v>2.1228789256854477E-2</c:v>
                  </c:pt>
                  <c:pt idx="6">
                    <c:v>2.0457354583900678E-2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Method'!$M$116:$M$122</c:f>
              <c:numCache>
                <c:formatCode>0.0000</c:formatCode>
                <c:ptCount val="7"/>
                <c:pt idx="0">
                  <c:v>0</c:v>
                </c:pt>
                <c:pt idx="1">
                  <c:v>0.33180118779292339</c:v>
                </c:pt>
                <c:pt idx="2">
                  <c:v>0.38557134075541299</c:v>
                </c:pt>
                <c:pt idx="3">
                  <c:v>0.43278415799076964</c:v>
                </c:pt>
                <c:pt idx="4">
                  <c:v>0.47475110664441988</c:v>
                </c:pt>
                <c:pt idx="5">
                  <c:v>0.53114419389776246</c:v>
                </c:pt>
                <c:pt idx="6">
                  <c:v>0.56261940538800037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F9-CF47-B6EF-8C8E5A20F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23146230443122823"/>
          <c:h val="0.148005257417136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HelloFresh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803245811423017E-2"/>
          <c:y val="9.46645193353748E-2"/>
          <c:w val="0.65527772085349723"/>
          <c:h val="0.79860076204073915"/>
        </c:manualLayout>
      </c:layout>
      <c:scatterChart>
        <c:scatterStyle val="lineMarker"/>
        <c:varyColors val="0"/>
        <c:ser>
          <c:idx val="0"/>
          <c:order val="0"/>
          <c:tx>
            <c:strRef>
              <c:f>'Crayola Method'!$D$115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plus>
            <c:min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Method'!$D$116:$D$122</c:f>
              <c:numCache>
                <c:formatCode>0.0000</c:formatCode>
                <c:ptCount val="7"/>
                <c:pt idx="0">
                  <c:v>0</c:v>
                </c:pt>
                <c:pt idx="1">
                  <c:v>1.2842575899902906</c:v>
                </c:pt>
                <c:pt idx="2">
                  <c:v>1.4526011866920963</c:v>
                </c:pt>
                <c:pt idx="3">
                  <c:v>1.555902939213659</c:v>
                </c:pt>
                <c:pt idx="4">
                  <c:v>1.6643060128473974</c:v>
                </c:pt>
                <c:pt idx="5">
                  <c:v>1.7650571048128718</c:v>
                </c:pt>
                <c:pt idx="6">
                  <c:v>1.8492289031637743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F0-484C-AD99-647C87B6DDDD}"/>
            </c:ext>
          </c:extLst>
        </c:ser>
        <c:ser>
          <c:idx val="1"/>
          <c:order val="1"/>
          <c:tx>
            <c:strRef>
              <c:f>'Crayola Method'!$E$115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Method'!$E$116:$E$122</c:f>
              <c:numCache>
                <c:formatCode>0.0000</c:formatCode>
                <c:ptCount val="7"/>
                <c:pt idx="0">
                  <c:v>0</c:v>
                </c:pt>
                <c:pt idx="1">
                  <c:v>0.53136824864925936</c:v>
                </c:pt>
                <c:pt idx="2">
                  <c:v>0.60474767346272862</c:v>
                </c:pt>
                <c:pt idx="3">
                  <c:v>0.74012006061861146</c:v>
                </c:pt>
                <c:pt idx="4">
                  <c:v>0.77807493552213003</c:v>
                </c:pt>
                <c:pt idx="5">
                  <c:v>0.83627241037419175</c:v>
                </c:pt>
                <c:pt idx="6">
                  <c:v>0.86790147279379037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F0-484C-AD99-647C87B6DDDD}"/>
            </c:ext>
          </c:extLst>
        </c:ser>
        <c:ser>
          <c:idx val="2"/>
          <c:order val="2"/>
          <c:tx>
            <c:strRef>
              <c:f>'Crayola Method'!$N$115</c:f>
              <c:strCache>
                <c:ptCount val="1"/>
                <c:pt idx="0">
                  <c:v>0.2% GO @ 100°C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Method'!$N$126:$N$132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1.9050038541012879E-2</c:v>
                  </c:pt>
                  <c:pt idx="2">
                    <c:v>1.1492535219565871E-2</c:v>
                  </c:pt>
                  <c:pt idx="3">
                    <c:v>2.0253324468869877E-2</c:v>
                  </c:pt>
                  <c:pt idx="4">
                    <c:v>1.8560006694243202E-2</c:v>
                  </c:pt>
                  <c:pt idx="5">
                    <c:v>2.2975687682254713E-2</c:v>
                  </c:pt>
                  <c:pt idx="6">
                    <c:v>2.4795016919993782E-2</c:v>
                  </c:pt>
                </c:numCache>
              </c:numRef>
            </c:plus>
            <c:minus>
              <c:numRef>
                <c:f>'Crayola Method'!$N$126:$N$132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1.9050038541012879E-2</c:v>
                  </c:pt>
                  <c:pt idx="2">
                    <c:v>1.1492535219565871E-2</c:v>
                  </c:pt>
                  <c:pt idx="3">
                    <c:v>2.0253324468869877E-2</c:v>
                  </c:pt>
                  <c:pt idx="4">
                    <c:v>1.8560006694243202E-2</c:v>
                  </c:pt>
                  <c:pt idx="5">
                    <c:v>2.2975687682254713E-2</c:v>
                  </c:pt>
                  <c:pt idx="6">
                    <c:v>2.4795016919993782E-2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Method'!$N$116:$N$122</c:f>
              <c:numCache>
                <c:formatCode>0.0000</c:formatCode>
                <c:ptCount val="7"/>
                <c:pt idx="0">
                  <c:v>0</c:v>
                </c:pt>
                <c:pt idx="1">
                  <c:v>0.41655475206611564</c:v>
                </c:pt>
                <c:pt idx="2">
                  <c:v>0.48800265452405778</c:v>
                </c:pt>
                <c:pt idx="3">
                  <c:v>0.5527101888255902</c:v>
                </c:pt>
                <c:pt idx="4">
                  <c:v>0.61606964949584087</c:v>
                </c:pt>
                <c:pt idx="5">
                  <c:v>0.67942911016609153</c:v>
                </c:pt>
                <c:pt idx="6">
                  <c:v>0.69560599374147469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F0-484C-AD99-647C87B6DDDD}"/>
            </c:ext>
          </c:extLst>
        </c:ser>
        <c:ser>
          <c:idx val="3"/>
          <c:order val="3"/>
          <c:tx>
            <c:strRef>
              <c:f>'Crayola Method'!$O$115</c:f>
              <c:strCache>
                <c:ptCount val="1"/>
                <c:pt idx="0">
                  <c:v>0.5% GO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Method'!$O$126:$O$132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1.4963505915801905E-2</c:v>
                  </c:pt>
                  <c:pt idx="2">
                    <c:v>8.3703162133055183E-3</c:v>
                  </c:pt>
                  <c:pt idx="3">
                    <c:v>1.5463586977383335E-2</c:v>
                  </c:pt>
                  <c:pt idx="4">
                    <c:v>1.0467927168749603E-2</c:v>
                  </c:pt>
                  <c:pt idx="5">
                    <c:v>3.0879451829988764E-2</c:v>
                  </c:pt>
                  <c:pt idx="6">
                    <c:v>1.2056321183735289E-2</c:v>
                  </c:pt>
                </c:numCache>
              </c:numRef>
            </c:plus>
            <c:minus>
              <c:numRef>
                <c:f>'Crayola Method'!$O$126:$O$132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1.4963505915801905E-2</c:v>
                  </c:pt>
                  <c:pt idx="2">
                    <c:v>8.3703162133055183E-3</c:v>
                  </c:pt>
                  <c:pt idx="3">
                    <c:v>1.5463586977383335E-2</c:v>
                  </c:pt>
                  <c:pt idx="4">
                    <c:v>1.0467927168749603E-2</c:v>
                  </c:pt>
                  <c:pt idx="5">
                    <c:v>3.0879451829988764E-2</c:v>
                  </c:pt>
                  <c:pt idx="6">
                    <c:v>1.2056321183735289E-2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Method'!$O$116:$O$122</c:f>
              <c:numCache>
                <c:formatCode>0.0000</c:formatCode>
                <c:ptCount val="7"/>
                <c:pt idx="0">
                  <c:v>0</c:v>
                </c:pt>
                <c:pt idx="1">
                  <c:v>0.39197174878993069</c:v>
                </c:pt>
                <c:pt idx="2">
                  <c:v>0.45571801935438305</c:v>
                </c:pt>
                <c:pt idx="3">
                  <c:v>0.4896256100801557</c:v>
                </c:pt>
                <c:pt idx="4">
                  <c:v>0.55472818427363879</c:v>
                </c:pt>
                <c:pt idx="5">
                  <c:v>0.61033663306390573</c:v>
                </c:pt>
                <c:pt idx="6">
                  <c:v>0.63610640201549284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F0-484C-AD99-647C87B6DDDD}"/>
            </c:ext>
          </c:extLst>
        </c:ser>
        <c:ser>
          <c:idx val="4"/>
          <c:order val="4"/>
          <c:tx>
            <c:strRef>
              <c:f>'Crayola Method'!$C$115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Method'!$C$126:$C$132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1.471583741590432E-2</c:v>
                  </c:pt>
                  <c:pt idx="2">
                    <c:v>2.9233485854277881E-2</c:v>
                  </c:pt>
                  <c:pt idx="3">
                    <c:v>4.1538221724016111E-2</c:v>
                  </c:pt>
                  <c:pt idx="4">
                    <c:v>5.4359480760375514E-2</c:v>
                  </c:pt>
                  <c:pt idx="5">
                    <c:v>3.7736197815578493E-2</c:v>
                  </c:pt>
                  <c:pt idx="6">
                    <c:v>6.4353835892082267E-2</c:v>
                  </c:pt>
                </c:numCache>
              </c:numRef>
            </c:plus>
            <c:minus>
              <c:numRef>
                <c:f>'Crayola Method'!$C$126:$C$132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1.471583741590432E-2</c:v>
                  </c:pt>
                  <c:pt idx="2">
                    <c:v>2.9233485854277881E-2</c:v>
                  </c:pt>
                  <c:pt idx="3">
                    <c:v>4.1538221724016111E-2</c:v>
                  </c:pt>
                  <c:pt idx="4">
                    <c:v>5.4359480760375514E-2</c:v>
                  </c:pt>
                  <c:pt idx="5">
                    <c:v>3.7736197815578493E-2</c:v>
                  </c:pt>
                  <c:pt idx="6">
                    <c:v>6.4353835892082267E-2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Method'!$C$116:$C$122</c:f>
              <c:numCache>
                <c:formatCode>0.0000</c:formatCode>
                <c:ptCount val="7"/>
                <c:pt idx="0">
                  <c:v>0</c:v>
                </c:pt>
                <c:pt idx="1">
                  <c:v>0.36263418997388036</c:v>
                </c:pt>
                <c:pt idx="2">
                  <c:v>0.45558374769281718</c:v>
                </c:pt>
                <c:pt idx="3">
                  <c:v>0.52496862880695305</c:v>
                </c:pt>
                <c:pt idx="4">
                  <c:v>0.6074449969237562</c:v>
                </c:pt>
                <c:pt idx="5">
                  <c:v>0.67813902673815907</c:v>
                </c:pt>
                <c:pt idx="6">
                  <c:v>0.7226500825472274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F0-484C-AD99-647C87B6D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1592902209602084"/>
          <c:h val="0.188104434303711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HelloFresh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803245811423017E-2"/>
          <c:y val="9.46645193353748E-2"/>
          <c:w val="0.65527772085349723"/>
          <c:h val="0.79860076204073915"/>
        </c:manualLayout>
      </c:layout>
      <c:scatterChart>
        <c:scatterStyle val="lineMarker"/>
        <c:varyColors val="0"/>
        <c:ser>
          <c:idx val="0"/>
          <c:order val="0"/>
          <c:tx>
            <c:strRef>
              <c:f>'Crayola Method'!$D$115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plus>
            <c:min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Method'!$D$116:$D$122</c:f>
              <c:numCache>
                <c:formatCode>0.0000</c:formatCode>
                <c:ptCount val="7"/>
                <c:pt idx="0">
                  <c:v>0</c:v>
                </c:pt>
                <c:pt idx="1">
                  <c:v>1.2842575899902906</c:v>
                </c:pt>
                <c:pt idx="2">
                  <c:v>1.4526011866920963</c:v>
                </c:pt>
                <c:pt idx="3">
                  <c:v>1.555902939213659</c:v>
                </c:pt>
                <c:pt idx="4">
                  <c:v>1.6643060128473974</c:v>
                </c:pt>
                <c:pt idx="5">
                  <c:v>1.7650571048128718</c:v>
                </c:pt>
                <c:pt idx="6">
                  <c:v>1.8492289031637743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07-154A-B78D-112A44EEED22}"/>
            </c:ext>
          </c:extLst>
        </c:ser>
        <c:ser>
          <c:idx val="2"/>
          <c:order val="1"/>
          <c:tx>
            <c:strRef>
              <c:f>'Crayola Method'!$I$115</c:f>
              <c:strCache>
                <c:ptCount val="1"/>
                <c:pt idx="0">
                  <c:v>15% WBBC @ 100°C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Method'!$I$126:$I$132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1.5109488725754796E-2</c:v>
                  </c:pt>
                  <c:pt idx="2">
                    <c:v>1.079298304712263E-2</c:v>
                  </c:pt>
                  <c:pt idx="3">
                    <c:v>1.1675444445264659E-2</c:v>
                  </c:pt>
                  <c:pt idx="4">
                    <c:v>8.6383431409185352E-3</c:v>
                  </c:pt>
                  <c:pt idx="5">
                    <c:v>6.2230937614232715E-3</c:v>
                  </c:pt>
                  <c:pt idx="6">
                    <c:v>4.8556269145548078E-3</c:v>
                  </c:pt>
                </c:numCache>
              </c:numRef>
            </c:plus>
            <c:minus>
              <c:numRef>
                <c:f>'Crayola Method'!$I$126:$I$132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1.5109488725754796E-2</c:v>
                  </c:pt>
                  <c:pt idx="2">
                    <c:v>1.079298304712263E-2</c:v>
                  </c:pt>
                  <c:pt idx="3">
                    <c:v>1.1675444445264659E-2</c:v>
                  </c:pt>
                  <c:pt idx="4">
                    <c:v>8.6383431409185352E-3</c:v>
                  </c:pt>
                  <c:pt idx="5">
                    <c:v>6.2230937614232715E-3</c:v>
                  </c:pt>
                  <c:pt idx="6">
                    <c:v>4.8556269145548078E-3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Method'!$I$116:$I$122</c:f>
              <c:numCache>
                <c:formatCode>0.0000</c:formatCode>
                <c:ptCount val="7"/>
                <c:pt idx="0">
                  <c:v>0</c:v>
                </c:pt>
                <c:pt idx="1">
                  <c:v>0.20462338697984642</c:v>
                </c:pt>
                <c:pt idx="2">
                  <c:v>0.22898331400125665</c:v>
                </c:pt>
                <c:pt idx="3">
                  <c:v>0.24359927021410271</c:v>
                </c:pt>
                <c:pt idx="4">
                  <c:v>0.26186921548016051</c:v>
                </c:pt>
                <c:pt idx="5">
                  <c:v>0.26430520818230147</c:v>
                </c:pt>
                <c:pt idx="6">
                  <c:v>0.27770316804407713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07-154A-B78D-112A44EEED22}"/>
            </c:ext>
          </c:extLst>
        </c:ser>
        <c:ser>
          <c:idx val="1"/>
          <c:order val="2"/>
          <c:tx>
            <c:strRef>
              <c:f>'Crayola Method'!$C$115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Method'!$C$116:$C$122</c:f>
              <c:numCache>
                <c:formatCode>0.0000</c:formatCode>
                <c:ptCount val="7"/>
                <c:pt idx="0">
                  <c:v>0</c:v>
                </c:pt>
                <c:pt idx="1">
                  <c:v>0.36263418997388036</c:v>
                </c:pt>
                <c:pt idx="2">
                  <c:v>0.45558374769281718</c:v>
                </c:pt>
                <c:pt idx="3">
                  <c:v>0.52496862880695305</c:v>
                </c:pt>
                <c:pt idx="4">
                  <c:v>0.6074449969237562</c:v>
                </c:pt>
                <c:pt idx="5">
                  <c:v>0.67813902673815907</c:v>
                </c:pt>
                <c:pt idx="6">
                  <c:v>0.7226500825472274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62-BE4F-8812-B195BB7DC0F1}"/>
            </c:ext>
          </c:extLst>
        </c:ser>
        <c:ser>
          <c:idx val="3"/>
          <c:order val="3"/>
          <c:tx>
            <c:strRef>
              <c:f>'Crayola Method'!$F$115</c:f>
              <c:strCache>
                <c:ptCount val="1"/>
                <c:pt idx="0">
                  <c:v>25% WBBC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Method'!$F$116:$F$122</c:f>
              <c:numCache>
                <c:formatCode>0.0000</c:formatCode>
                <c:ptCount val="7"/>
                <c:pt idx="0">
                  <c:v>0</c:v>
                </c:pt>
                <c:pt idx="1">
                  <c:v>0.15238585394476423</c:v>
                </c:pt>
                <c:pt idx="2">
                  <c:v>0.21196528556226607</c:v>
                </c:pt>
                <c:pt idx="3">
                  <c:v>0.21998559366462211</c:v>
                </c:pt>
                <c:pt idx="4">
                  <c:v>0.24175500137101705</c:v>
                </c:pt>
                <c:pt idx="5">
                  <c:v>0.24633803457236333</c:v>
                </c:pt>
                <c:pt idx="6">
                  <c:v>0.2623786507770754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62-BE4F-8812-B195BB7DC0F1}"/>
            </c:ext>
          </c:extLst>
        </c:ser>
        <c:ser>
          <c:idx val="4"/>
          <c:order val="4"/>
          <c:tx>
            <c:strRef>
              <c:f>'Crayola Method'!$H$115</c:f>
              <c:strCache>
                <c:ptCount val="1"/>
                <c:pt idx="0">
                  <c:v>5% WBBC @ 100°C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Method'!$H$116:$H$122</c:f>
              <c:numCache>
                <c:formatCode>0.0000</c:formatCode>
                <c:ptCount val="7"/>
                <c:pt idx="0">
                  <c:v>0</c:v>
                </c:pt>
                <c:pt idx="1">
                  <c:v>0.24421680734330528</c:v>
                </c:pt>
                <c:pt idx="2">
                  <c:v>0.27536691032076754</c:v>
                </c:pt>
                <c:pt idx="3">
                  <c:v>0.27661291443986602</c:v>
                </c:pt>
                <c:pt idx="4">
                  <c:v>0.2778589185589645</c:v>
                </c:pt>
                <c:pt idx="5">
                  <c:v>0.28658094739265388</c:v>
                </c:pt>
                <c:pt idx="6">
                  <c:v>0.30527100917913141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62-BE4F-8812-B195BB7DC0F1}"/>
            </c:ext>
          </c:extLst>
        </c:ser>
        <c:ser>
          <c:idx val="5"/>
          <c:order val="5"/>
          <c:tx>
            <c:strRef>
              <c:f>'Crayola Method'!$L$115</c:f>
              <c:strCache>
                <c:ptCount val="1"/>
                <c:pt idx="0">
                  <c:v>1% WBBC @ 100°C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Method'!$L$116:$L$122</c:f>
              <c:numCache>
                <c:formatCode>0.0000</c:formatCode>
                <c:ptCount val="7"/>
                <c:pt idx="0">
                  <c:v>0</c:v>
                </c:pt>
                <c:pt idx="1">
                  <c:v>0.31925189750306682</c:v>
                </c:pt>
                <c:pt idx="2">
                  <c:v>0.37574503162912393</c:v>
                </c:pt>
                <c:pt idx="3">
                  <c:v>0.41253125850190525</c:v>
                </c:pt>
                <c:pt idx="4">
                  <c:v>0.43486575338895117</c:v>
                </c:pt>
                <c:pt idx="5">
                  <c:v>0.46376921736042209</c:v>
                </c:pt>
                <c:pt idx="6">
                  <c:v>0.5084382071345136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62-BE4F-8812-B195BB7DC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16448785903492061"/>
          <c:h val="0.216482673615530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HelloFresh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803245811423017E-2"/>
          <c:y val="9.46645193353748E-2"/>
          <c:w val="0.65527772085349723"/>
          <c:h val="0.79860076204073915"/>
        </c:manualLayout>
      </c:layout>
      <c:scatterChart>
        <c:scatterStyle val="lineMarker"/>
        <c:varyColors val="0"/>
        <c:ser>
          <c:idx val="0"/>
          <c:order val="0"/>
          <c:tx>
            <c:strRef>
              <c:f>'Crayola Method'!$D$115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plus>
            <c:min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Method'!$D$116:$D$122</c:f>
              <c:numCache>
                <c:formatCode>0.0000</c:formatCode>
                <c:ptCount val="7"/>
                <c:pt idx="0">
                  <c:v>0</c:v>
                </c:pt>
                <c:pt idx="1">
                  <c:v>1.2842575899902906</c:v>
                </c:pt>
                <c:pt idx="2">
                  <c:v>1.4526011866920963</c:v>
                </c:pt>
                <c:pt idx="3">
                  <c:v>1.555902939213659</c:v>
                </c:pt>
                <c:pt idx="4">
                  <c:v>1.6643060128473974</c:v>
                </c:pt>
                <c:pt idx="5">
                  <c:v>1.7650571048128718</c:v>
                </c:pt>
                <c:pt idx="6">
                  <c:v>1.8492289031637743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71-9B4B-970B-AF67A19D7FC0}"/>
            </c:ext>
          </c:extLst>
        </c:ser>
        <c:ser>
          <c:idx val="1"/>
          <c:order val="1"/>
          <c:tx>
            <c:strRef>
              <c:f>'Crayola Method'!$E$115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Method'!$E$116:$E$122</c:f>
              <c:numCache>
                <c:formatCode>0.0000</c:formatCode>
                <c:ptCount val="7"/>
                <c:pt idx="0">
                  <c:v>0</c:v>
                </c:pt>
                <c:pt idx="1">
                  <c:v>0.53136824864925936</c:v>
                </c:pt>
                <c:pt idx="2">
                  <c:v>0.60474767346272862</c:v>
                </c:pt>
                <c:pt idx="3">
                  <c:v>0.74012006061861146</c:v>
                </c:pt>
                <c:pt idx="4">
                  <c:v>0.77807493552213003</c:v>
                </c:pt>
                <c:pt idx="5">
                  <c:v>0.83627241037419175</c:v>
                </c:pt>
                <c:pt idx="6">
                  <c:v>0.86790147279379037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71-9B4B-970B-AF67A19D7FC0}"/>
            </c:ext>
          </c:extLst>
        </c:ser>
        <c:ser>
          <c:idx val="2"/>
          <c:order val="2"/>
          <c:tx>
            <c:strRef>
              <c:f>'Crayola Method'!$N$115</c:f>
              <c:strCache>
                <c:ptCount val="1"/>
                <c:pt idx="0">
                  <c:v>0.2% GO @ 100°C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Method'!$N$126:$N$132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1.9050038541012879E-2</c:v>
                  </c:pt>
                  <c:pt idx="2">
                    <c:v>1.1492535219565871E-2</c:v>
                  </c:pt>
                  <c:pt idx="3">
                    <c:v>2.0253324468869877E-2</c:v>
                  </c:pt>
                  <c:pt idx="4">
                    <c:v>1.8560006694243202E-2</c:v>
                  </c:pt>
                  <c:pt idx="5">
                    <c:v>2.2975687682254713E-2</c:v>
                  </c:pt>
                  <c:pt idx="6">
                    <c:v>2.4795016919993782E-2</c:v>
                  </c:pt>
                </c:numCache>
              </c:numRef>
            </c:plus>
            <c:minus>
              <c:numRef>
                <c:f>'Crayola Method'!$N$126:$N$132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1.9050038541012879E-2</c:v>
                  </c:pt>
                  <c:pt idx="2">
                    <c:v>1.1492535219565871E-2</c:v>
                  </c:pt>
                  <c:pt idx="3">
                    <c:v>2.0253324468869877E-2</c:v>
                  </c:pt>
                  <c:pt idx="4">
                    <c:v>1.8560006694243202E-2</c:v>
                  </c:pt>
                  <c:pt idx="5">
                    <c:v>2.2975687682254713E-2</c:v>
                  </c:pt>
                  <c:pt idx="6">
                    <c:v>2.4795016919993782E-2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Method'!$N$116:$N$122</c:f>
              <c:numCache>
                <c:formatCode>0.0000</c:formatCode>
                <c:ptCount val="7"/>
                <c:pt idx="0">
                  <c:v>0</c:v>
                </c:pt>
                <c:pt idx="1">
                  <c:v>0.41655475206611564</c:v>
                </c:pt>
                <c:pt idx="2">
                  <c:v>0.48800265452405778</c:v>
                </c:pt>
                <c:pt idx="3">
                  <c:v>0.5527101888255902</c:v>
                </c:pt>
                <c:pt idx="4">
                  <c:v>0.61606964949584087</c:v>
                </c:pt>
                <c:pt idx="5">
                  <c:v>0.67942911016609153</c:v>
                </c:pt>
                <c:pt idx="6">
                  <c:v>0.69560599374147469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71-9B4B-970B-AF67A19D7FC0}"/>
            </c:ext>
          </c:extLst>
        </c:ser>
        <c:ser>
          <c:idx val="3"/>
          <c:order val="3"/>
          <c:tx>
            <c:strRef>
              <c:f>'Crayola Method'!$O$115</c:f>
              <c:strCache>
                <c:ptCount val="1"/>
                <c:pt idx="0">
                  <c:v>0.5% GO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Method'!$O$126:$O$132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1.4963505915801905E-2</c:v>
                  </c:pt>
                  <c:pt idx="2">
                    <c:v>8.3703162133055183E-3</c:v>
                  </c:pt>
                  <c:pt idx="3">
                    <c:v>1.5463586977383335E-2</c:v>
                  </c:pt>
                  <c:pt idx="4">
                    <c:v>1.0467927168749603E-2</c:v>
                  </c:pt>
                  <c:pt idx="5">
                    <c:v>3.0879451829988764E-2</c:v>
                  </c:pt>
                  <c:pt idx="6">
                    <c:v>1.2056321183735289E-2</c:v>
                  </c:pt>
                </c:numCache>
              </c:numRef>
            </c:plus>
            <c:minus>
              <c:numRef>
                <c:f>'Crayola Method'!$O$126:$O$132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1.4963505915801905E-2</c:v>
                  </c:pt>
                  <c:pt idx="2">
                    <c:v>8.3703162133055183E-3</c:v>
                  </c:pt>
                  <c:pt idx="3">
                    <c:v>1.5463586977383335E-2</c:v>
                  </c:pt>
                  <c:pt idx="4">
                    <c:v>1.0467927168749603E-2</c:v>
                  </c:pt>
                  <c:pt idx="5">
                    <c:v>3.0879451829988764E-2</c:v>
                  </c:pt>
                  <c:pt idx="6">
                    <c:v>1.2056321183735289E-2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Method'!$O$116:$O$122</c:f>
              <c:numCache>
                <c:formatCode>0.0000</c:formatCode>
                <c:ptCount val="7"/>
                <c:pt idx="0">
                  <c:v>0</c:v>
                </c:pt>
                <c:pt idx="1">
                  <c:v>0.39197174878993069</c:v>
                </c:pt>
                <c:pt idx="2">
                  <c:v>0.45571801935438305</c:v>
                </c:pt>
                <c:pt idx="3">
                  <c:v>0.4896256100801557</c:v>
                </c:pt>
                <c:pt idx="4">
                  <c:v>0.55472818427363879</c:v>
                </c:pt>
                <c:pt idx="5">
                  <c:v>0.61033663306390573</c:v>
                </c:pt>
                <c:pt idx="6">
                  <c:v>0.63610640201549284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71-9B4B-970B-AF67A19D7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1592902209602084"/>
          <c:h val="0.188104434303711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HelloFresh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'Crayola Method'!$C$115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1270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4.6949868287186766E-2</c:v>
                  </c:pt>
                  <c:pt idx="2">
                    <c:v>7.4173658161670319E-2</c:v>
                  </c:pt>
                  <c:pt idx="3">
                    <c:v>6.6945924520680308E-2</c:v>
                  </c:pt>
                  <c:pt idx="4">
                    <c:v>5.9489887170040556E-2</c:v>
                  </c:pt>
                  <c:pt idx="5">
                    <c:v>7.1484921233123777E-2</c:v>
                  </c:pt>
                  <c:pt idx="6">
                    <c:v>6.372991983639599E-2</c:v>
                  </c:pt>
                </c:numCache>
              </c:numRef>
            </c:plus>
            <c:minus>
              <c:numRef>
                <c:f>'Boat Method'!$E$142:$E$148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4.6949868287186766E-2</c:v>
                  </c:pt>
                  <c:pt idx="2">
                    <c:v>7.4173658161670319E-2</c:v>
                  </c:pt>
                  <c:pt idx="3">
                    <c:v>6.6945924520680308E-2</c:v>
                  </c:pt>
                  <c:pt idx="4">
                    <c:v>5.9489887170040556E-2</c:v>
                  </c:pt>
                  <c:pt idx="5">
                    <c:v>7.1484921233123777E-2</c:v>
                  </c:pt>
                  <c:pt idx="6">
                    <c:v>6.372991983639599E-2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Method'!$C$116:$C$122</c:f>
              <c:numCache>
                <c:formatCode>0.0000</c:formatCode>
                <c:ptCount val="7"/>
                <c:pt idx="0">
                  <c:v>0</c:v>
                </c:pt>
                <c:pt idx="1">
                  <c:v>0.36263418997388036</c:v>
                </c:pt>
                <c:pt idx="2">
                  <c:v>0.45558374769281718</c:v>
                </c:pt>
                <c:pt idx="3">
                  <c:v>0.52496862880695305</c:v>
                </c:pt>
                <c:pt idx="4">
                  <c:v>0.6074449969237562</c:v>
                </c:pt>
                <c:pt idx="5">
                  <c:v>0.67813902673815907</c:v>
                </c:pt>
                <c:pt idx="6">
                  <c:v>0.7226500825472274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C4-8A42-8742-96EF73D833B1}"/>
            </c:ext>
          </c:extLst>
        </c:ser>
        <c:ser>
          <c:idx val="0"/>
          <c:order val="1"/>
          <c:tx>
            <c:strRef>
              <c:f>'Crayola Method'!$D$115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plus>
            <c:minus>
              <c:numRef>
                <c:f>'Crayola Method'!$D$126:$D$132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0.44240415716318271</c:v>
                  </c:pt>
                  <c:pt idx="2">
                    <c:v>0.38110891808380826</c:v>
                  </c:pt>
                  <c:pt idx="3">
                    <c:v>0.31505315236470732</c:v>
                  </c:pt>
                  <c:pt idx="4">
                    <c:v>0.26964024265618802</c:v>
                  </c:pt>
                  <c:pt idx="5">
                    <c:v>0.21092165257867918</c:v>
                  </c:pt>
                  <c:pt idx="6">
                    <c:v>0.18470189222825298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Method'!$D$116:$D$122</c:f>
              <c:numCache>
                <c:formatCode>0.0000</c:formatCode>
                <c:ptCount val="7"/>
                <c:pt idx="0">
                  <c:v>0</c:v>
                </c:pt>
                <c:pt idx="1">
                  <c:v>1.2842575899902906</c:v>
                </c:pt>
                <c:pt idx="2">
                  <c:v>1.4526011866920963</c:v>
                </c:pt>
                <c:pt idx="3">
                  <c:v>1.555902939213659</c:v>
                </c:pt>
                <c:pt idx="4">
                  <c:v>1.6643060128473974</c:v>
                </c:pt>
                <c:pt idx="5">
                  <c:v>1.7650571048128718</c:v>
                </c:pt>
                <c:pt idx="6">
                  <c:v>1.8492289031637743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C4-8A42-8742-96EF73D833B1}"/>
            </c:ext>
          </c:extLst>
        </c:ser>
        <c:ser>
          <c:idx val="2"/>
          <c:order val="2"/>
          <c:tx>
            <c:strRef>
              <c:f>'Crayola Method'!$L$115</c:f>
              <c:strCache>
                <c:ptCount val="1"/>
                <c:pt idx="0">
                  <c:v>1% WBBC @ 100°C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Method'!$L$126:$L$132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1.1944155011027713E-2</c:v>
                  </c:pt>
                  <c:pt idx="2">
                    <c:v>1.4585066211305142E-2</c:v>
                  </c:pt>
                  <c:pt idx="3">
                    <c:v>2.6178200113130334E-2</c:v>
                  </c:pt>
                  <c:pt idx="4">
                    <c:v>1.6250104121243388E-2</c:v>
                  </c:pt>
                  <c:pt idx="5">
                    <c:v>1.2546850299428791E-2</c:v>
                  </c:pt>
                  <c:pt idx="6">
                    <c:v>8.9703862908476137E-3</c:v>
                  </c:pt>
                </c:numCache>
              </c:numRef>
            </c:plus>
            <c:minus>
              <c:numRef>
                <c:f>'Crayola Method'!$L$126:$L$132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1.1944155011027713E-2</c:v>
                  </c:pt>
                  <c:pt idx="2">
                    <c:v>1.4585066211305142E-2</c:v>
                  </c:pt>
                  <c:pt idx="3">
                    <c:v>2.6178200113130334E-2</c:v>
                  </c:pt>
                  <c:pt idx="4">
                    <c:v>1.6250104121243388E-2</c:v>
                  </c:pt>
                  <c:pt idx="5">
                    <c:v>1.2546850299428791E-2</c:v>
                  </c:pt>
                  <c:pt idx="6">
                    <c:v>8.9703862908476137E-3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Method'!$L$116:$L$122</c:f>
              <c:numCache>
                <c:formatCode>0.0000</c:formatCode>
                <c:ptCount val="7"/>
                <c:pt idx="0">
                  <c:v>0</c:v>
                </c:pt>
                <c:pt idx="1">
                  <c:v>0.31925189750306682</c:v>
                </c:pt>
                <c:pt idx="2">
                  <c:v>0.37574503162912393</c:v>
                </c:pt>
                <c:pt idx="3">
                  <c:v>0.41253125850190525</c:v>
                </c:pt>
                <c:pt idx="4">
                  <c:v>0.43486575338895117</c:v>
                </c:pt>
                <c:pt idx="5">
                  <c:v>0.46376921736042209</c:v>
                </c:pt>
                <c:pt idx="6">
                  <c:v>0.5084382071345136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5C4-8A42-8742-96EF73D833B1}"/>
            </c:ext>
          </c:extLst>
        </c:ser>
        <c:ser>
          <c:idx val="4"/>
          <c:order val="3"/>
          <c:tx>
            <c:strRef>
              <c:f>'Crayola Method'!$N$115</c:f>
              <c:strCache>
                <c:ptCount val="1"/>
                <c:pt idx="0">
                  <c:v>0.2% GO @ 100°C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'Crayola Method'!$N$126:$N$132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1.9050038541012879E-2</c:v>
                  </c:pt>
                  <c:pt idx="2">
                    <c:v>1.1492535219565871E-2</c:v>
                  </c:pt>
                  <c:pt idx="3">
                    <c:v>2.0253324468869877E-2</c:v>
                  </c:pt>
                  <c:pt idx="4">
                    <c:v>1.8560006694243202E-2</c:v>
                  </c:pt>
                  <c:pt idx="5">
                    <c:v>2.2975687682254713E-2</c:v>
                  </c:pt>
                  <c:pt idx="6">
                    <c:v>2.4795016919993782E-2</c:v>
                  </c:pt>
                </c:numCache>
              </c:numRef>
            </c:plus>
            <c:minus>
              <c:numRef>
                <c:f>'Crayola Method'!$N$126:$N$132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1.9050038541012879E-2</c:v>
                  </c:pt>
                  <c:pt idx="2">
                    <c:v>1.1492535219565871E-2</c:v>
                  </c:pt>
                  <c:pt idx="3">
                    <c:v>2.0253324468869877E-2</c:v>
                  </c:pt>
                  <c:pt idx="4">
                    <c:v>1.8560006694243202E-2</c:v>
                  </c:pt>
                  <c:pt idx="5">
                    <c:v>2.2975687682254713E-2</c:v>
                  </c:pt>
                  <c:pt idx="6">
                    <c:v>2.4795016919993782E-2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'Crayola Method'!$B$116:$B$122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'Crayola Method'!$N$116:$N$122</c:f>
              <c:numCache>
                <c:formatCode>0.0000</c:formatCode>
                <c:ptCount val="7"/>
                <c:pt idx="0">
                  <c:v>0</c:v>
                </c:pt>
                <c:pt idx="1">
                  <c:v>0.41655475206611564</c:v>
                </c:pt>
                <c:pt idx="2">
                  <c:v>0.48800265452405778</c:v>
                </c:pt>
                <c:pt idx="3">
                  <c:v>0.5527101888255902</c:v>
                </c:pt>
                <c:pt idx="4">
                  <c:v>0.61606964949584087</c:v>
                </c:pt>
                <c:pt idx="5">
                  <c:v>0.67942911016609153</c:v>
                </c:pt>
                <c:pt idx="6">
                  <c:v>0.69560599374147469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5C4-8A42-8742-96EF73D83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452168780482581"/>
          <c:y val="0.16874227475517514"/>
          <c:w val="0.16611267111736899"/>
          <c:h val="0.204715016287310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Metsä OBAFree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'Boat Method'!$C$129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1270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4.6949868287186766E-2</c:v>
                  </c:pt>
                  <c:pt idx="2">
                    <c:v>7.4173658161670319E-2</c:v>
                  </c:pt>
                  <c:pt idx="3">
                    <c:v>6.6945924520680308E-2</c:v>
                  </c:pt>
                  <c:pt idx="4">
                    <c:v>5.9489887170040556E-2</c:v>
                  </c:pt>
                  <c:pt idx="5">
                    <c:v>7.1484921233123777E-2</c:v>
                  </c:pt>
                  <c:pt idx="6">
                    <c:v>6.372991983639599E-2</c:v>
                  </c:pt>
                </c:numCache>
              </c:numRef>
            </c:plus>
            <c:minus>
              <c:numRef>
                <c:f>'Boat Method'!$E$142:$E$148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4.6949868287186766E-2</c:v>
                  </c:pt>
                  <c:pt idx="2">
                    <c:v>7.4173658161670319E-2</c:v>
                  </c:pt>
                  <c:pt idx="3">
                    <c:v>6.6945924520680308E-2</c:v>
                  </c:pt>
                  <c:pt idx="4">
                    <c:v>5.9489887170040556E-2</c:v>
                  </c:pt>
                  <c:pt idx="5">
                    <c:v>7.1484921233123777E-2</c:v>
                  </c:pt>
                  <c:pt idx="6">
                    <c:v>6.372991983639599E-2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Method'!$C$130:$C$136</c:f>
              <c:numCache>
                <c:formatCode>0.0000</c:formatCode>
                <c:ptCount val="7"/>
                <c:pt idx="0">
                  <c:v>0</c:v>
                </c:pt>
                <c:pt idx="1">
                  <c:v>0.2944084723827422</c:v>
                </c:pt>
                <c:pt idx="2">
                  <c:v>0.32496487066958368</c:v>
                </c:pt>
                <c:pt idx="3">
                  <c:v>0.35649131334648354</c:v>
                </c:pt>
                <c:pt idx="4">
                  <c:v>0.36667677944209737</c:v>
                </c:pt>
                <c:pt idx="5">
                  <c:v>0.38850277821841261</c:v>
                </c:pt>
                <c:pt idx="6">
                  <c:v>0.40499353284940642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B7-8B47-8534-2460C260FF87}"/>
            </c:ext>
          </c:extLst>
        </c:ser>
        <c:ser>
          <c:idx val="0"/>
          <c:order val="1"/>
          <c:tx>
            <c:strRef>
              <c:f>'Boat Method'!$D$129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ot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9.5627734622863361E-3</c:v>
                  </c:pt>
                  <c:pt idx="2">
                    <c:v>1.3590260363414099E-2</c:v>
                  </c:pt>
                  <c:pt idx="3">
                    <c:v>1.5740451787141351E-2</c:v>
                  </c:pt>
                  <c:pt idx="4">
                    <c:v>1.9533386971887765E-2</c:v>
                  </c:pt>
                  <c:pt idx="5">
                    <c:v>1.9989303345219721E-2</c:v>
                  </c:pt>
                  <c:pt idx="6">
                    <c:v>2.0903630297561517E-2</c:v>
                  </c:pt>
                </c:numCache>
              </c:numRef>
            </c:plus>
            <c:minus>
              <c:numRef>
                <c:f>'Boat Method'!$C$142:$C$148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9.5627734622863361E-3</c:v>
                  </c:pt>
                  <c:pt idx="2">
                    <c:v>1.3590260363414099E-2</c:v>
                  </c:pt>
                  <c:pt idx="3">
                    <c:v>1.5740451787141351E-2</c:v>
                  </c:pt>
                  <c:pt idx="4">
                    <c:v>1.9533386971887765E-2</c:v>
                  </c:pt>
                  <c:pt idx="5">
                    <c:v>1.9989303345219721E-2</c:v>
                  </c:pt>
                  <c:pt idx="6">
                    <c:v>2.0903630297561517E-2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Method'!$D$130:$D$136</c:f>
              <c:numCache>
                <c:formatCode>0.0000</c:formatCode>
                <c:ptCount val="7"/>
                <c:pt idx="0">
                  <c:v>0</c:v>
                </c:pt>
                <c:pt idx="1">
                  <c:v>0.51129507853421308</c:v>
                </c:pt>
                <c:pt idx="2">
                  <c:v>0.575148702744958</c:v>
                </c:pt>
                <c:pt idx="3">
                  <c:v>0.62548586635634806</c:v>
                </c:pt>
                <c:pt idx="4">
                  <c:v>0.62362152696333351</c:v>
                </c:pt>
                <c:pt idx="5">
                  <c:v>0.65205270270680393</c:v>
                </c:pt>
                <c:pt idx="6">
                  <c:v>0.65298487240331127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B7-8B47-8534-2460C260FF87}"/>
            </c:ext>
          </c:extLst>
        </c:ser>
        <c:ser>
          <c:idx val="2"/>
          <c:order val="2"/>
          <c:tx>
            <c:strRef>
              <c:f>'Boat Method'!$E$129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ysDot"/>
              </a:ln>
              <a:effectLst/>
            </c:spPr>
          </c:marker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Method'!$E$130:$E$136</c:f>
              <c:numCache>
                <c:formatCode>0.0000</c:formatCode>
                <c:ptCount val="7"/>
                <c:pt idx="0">
                  <c:v>0</c:v>
                </c:pt>
                <c:pt idx="1">
                  <c:v>0.38765658120571017</c:v>
                </c:pt>
                <c:pt idx="2">
                  <c:v>0.45881166285729463</c:v>
                </c:pt>
                <c:pt idx="3">
                  <c:v>0.4865344219423276</c:v>
                </c:pt>
                <c:pt idx="4">
                  <c:v>0.53320106640213305</c:v>
                </c:pt>
                <c:pt idx="5">
                  <c:v>0.56369610139566895</c:v>
                </c:pt>
                <c:pt idx="6">
                  <c:v>0.58448817070944381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B7-8B47-8534-2460C260FF87}"/>
            </c:ext>
          </c:extLst>
        </c:ser>
        <c:ser>
          <c:idx val="3"/>
          <c:order val="3"/>
          <c:tx>
            <c:strRef>
              <c:f>'Boat Method'!$F$129</c:f>
              <c:strCache>
                <c:ptCount val="1"/>
                <c:pt idx="0">
                  <c:v>25% WBBC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ot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Method'!$F$142:$F$148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5.7661530307589123E-3</c:v>
                  </c:pt>
                  <c:pt idx="2">
                    <c:v>1.1104505748550418E-2</c:v>
                  </c:pt>
                  <c:pt idx="3">
                    <c:v>9.2139409800817244E-3</c:v>
                  </c:pt>
                  <c:pt idx="4">
                    <c:v>6.0127972963679201E-3</c:v>
                  </c:pt>
                  <c:pt idx="5">
                    <c:v>7.3421928480699675E-3</c:v>
                  </c:pt>
                  <c:pt idx="6">
                    <c:v>4.2135572253192803E-3</c:v>
                  </c:pt>
                </c:numCache>
              </c:numRef>
            </c:plus>
            <c:minus>
              <c:numRef>
                <c:f>'Boat Method'!$F$142:$F$148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5.7661530307589123E-3</c:v>
                  </c:pt>
                  <c:pt idx="2">
                    <c:v>1.1104505748550418E-2</c:v>
                  </c:pt>
                  <c:pt idx="3">
                    <c:v>9.2139409800817244E-3</c:v>
                  </c:pt>
                  <c:pt idx="4">
                    <c:v>6.0127972963679201E-3</c:v>
                  </c:pt>
                  <c:pt idx="5">
                    <c:v>7.3421928480699675E-3</c:v>
                  </c:pt>
                  <c:pt idx="6">
                    <c:v>4.2135572253192803E-3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Method'!$F$130:$F$136</c:f>
              <c:numCache>
                <c:formatCode>0.0000</c:formatCode>
                <c:ptCount val="7"/>
                <c:pt idx="0">
                  <c:v>0</c:v>
                </c:pt>
                <c:pt idx="1">
                  <c:v>0.13836403442827419</c:v>
                </c:pt>
                <c:pt idx="2">
                  <c:v>0.21103594568585438</c:v>
                </c:pt>
                <c:pt idx="3">
                  <c:v>0.23731279495413199</c:v>
                </c:pt>
                <c:pt idx="4">
                  <c:v>0.24470315881083501</c:v>
                </c:pt>
                <c:pt idx="5">
                  <c:v>0.25086179535808761</c:v>
                </c:pt>
                <c:pt idx="6">
                  <c:v>0.25250409843735494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3B7-8B47-8534-2460C260FF87}"/>
            </c:ext>
          </c:extLst>
        </c:ser>
        <c:ser>
          <c:idx val="4"/>
          <c:order val="4"/>
          <c:tx>
            <c:strRef>
              <c:f>'Boat Method'!$G$129</c:f>
              <c:strCache>
                <c:ptCount val="1"/>
                <c:pt idx="0">
                  <c:v>25% WBBC + 0.1% GO @ 100°C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Method'!$G$142:$G$148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1.8531223133912804E-2</c:v>
                  </c:pt>
                  <c:pt idx="2">
                    <c:v>1.9256946174855408E-2</c:v>
                  </c:pt>
                  <c:pt idx="3">
                    <c:v>1.687904740208173E-2</c:v>
                  </c:pt>
                  <c:pt idx="4">
                    <c:v>1.7646865486710461E-2</c:v>
                  </c:pt>
                  <c:pt idx="5">
                    <c:v>1.8905629100599442E-2</c:v>
                  </c:pt>
                  <c:pt idx="6">
                    <c:v>1.775874627156249E-2</c:v>
                  </c:pt>
                </c:numCache>
              </c:numRef>
            </c:plus>
            <c:minus>
              <c:numRef>
                <c:f>'Boat Method'!$G$142:$G$148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1.8531223133912804E-2</c:v>
                  </c:pt>
                  <c:pt idx="2">
                    <c:v>1.9256946174855408E-2</c:v>
                  </c:pt>
                  <c:pt idx="3">
                    <c:v>1.687904740208173E-2</c:v>
                  </c:pt>
                  <c:pt idx="4">
                    <c:v>1.7646865486710461E-2</c:v>
                  </c:pt>
                  <c:pt idx="5">
                    <c:v>1.8905629100599442E-2</c:v>
                  </c:pt>
                  <c:pt idx="6">
                    <c:v>1.775874627156249E-2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Method'!$G$130:$G$136</c:f>
              <c:numCache>
                <c:formatCode>0.0000</c:formatCode>
                <c:ptCount val="7"/>
                <c:pt idx="0">
                  <c:v>0</c:v>
                </c:pt>
                <c:pt idx="1">
                  <c:v>0.13323378267704167</c:v>
                </c:pt>
                <c:pt idx="2">
                  <c:v>0.19386712090132405</c:v>
                </c:pt>
                <c:pt idx="3">
                  <c:v>0.21540791211258231</c:v>
                </c:pt>
                <c:pt idx="4">
                  <c:v>0.2309651502096022</c:v>
                </c:pt>
                <c:pt idx="5">
                  <c:v>0.23415637853719601</c:v>
                </c:pt>
                <c:pt idx="6">
                  <c:v>0.24333115997902818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3B7-8B47-8534-2460C260F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20953472499754988"/>
          <c:h val="0.415861427754848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HelloFresh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'Boat Method'!$C$129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1270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4.6949868287186766E-2</c:v>
                  </c:pt>
                  <c:pt idx="2">
                    <c:v>7.4173658161670319E-2</c:v>
                  </c:pt>
                  <c:pt idx="3">
                    <c:v>6.6945924520680308E-2</c:v>
                  </c:pt>
                  <c:pt idx="4">
                    <c:v>5.9489887170040556E-2</c:v>
                  </c:pt>
                  <c:pt idx="5">
                    <c:v>7.1484921233123777E-2</c:v>
                  </c:pt>
                  <c:pt idx="6">
                    <c:v>6.372991983639599E-2</c:v>
                  </c:pt>
                </c:numCache>
              </c:numRef>
            </c:plus>
            <c:minus>
              <c:numRef>
                <c:f>'Boat Method'!$E$142:$E$148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4.6949868287186766E-2</c:v>
                  </c:pt>
                  <c:pt idx="2">
                    <c:v>7.4173658161670319E-2</c:v>
                  </c:pt>
                  <c:pt idx="3">
                    <c:v>6.6945924520680308E-2</c:v>
                  </c:pt>
                  <c:pt idx="4">
                    <c:v>5.9489887170040556E-2</c:v>
                  </c:pt>
                  <c:pt idx="5">
                    <c:v>7.1484921233123777E-2</c:v>
                  </c:pt>
                  <c:pt idx="6">
                    <c:v>6.372991983639599E-2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Method'!$C$130:$C$136</c:f>
              <c:numCache>
                <c:formatCode>0.0000</c:formatCode>
                <c:ptCount val="7"/>
                <c:pt idx="0">
                  <c:v>0</c:v>
                </c:pt>
                <c:pt idx="1">
                  <c:v>0.2944084723827422</c:v>
                </c:pt>
                <c:pt idx="2">
                  <c:v>0.32496487066958368</c:v>
                </c:pt>
                <c:pt idx="3">
                  <c:v>0.35649131334648354</c:v>
                </c:pt>
                <c:pt idx="4">
                  <c:v>0.36667677944209737</c:v>
                </c:pt>
                <c:pt idx="5">
                  <c:v>0.38850277821841261</c:v>
                </c:pt>
                <c:pt idx="6">
                  <c:v>0.40499353284940642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44-DD4A-8437-010297FD1E67}"/>
            </c:ext>
          </c:extLst>
        </c:ser>
        <c:ser>
          <c:idx val="0"/>
          <c:order val="1"/>
          <c:tx>
            <c:strRef>
              <c:f>'Boat Method'!$D$129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ot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9.5627734622863361E-3</c:v>
                  </c:pt>
                  <c:pt idx="2">
                    <c:v>1.3590260363414099E-2</c:v>
                  </c:pt>
                  <c:pt idx="3">
                    <c:v>1.5740451787141351E-2</c:v>
                  </c:pt>
                  <c:pt idx="4">
                    <c:v>1.9533386971887765E-2</c:v>
                  </c:pt>
                  <c:pt idx="5">
                    <c:v>1.9989303345219721E-2</c:v>
                  </c:pt>
                  <c:pt idx="6">
                    <c:v>2.0903630297561517E-2</c:v>
                  </c:pt>
                </c:numCache>
              </c:numRef>
            </c:plus>
            <c:minus>
              <c:numRef>
                <c:f>'Boat Method'!$C$142:$C$148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9.5627734622863361E-3</c:v>
                  </c:pt>
                  <c:pt idx="2">
                    <c:v>1.3590260363414099E-2</c:v>
                  </c:pt>
                  <c:pt idx="3">
                    <c:v>1.5740451787141351E-2</c:v>
                  </c:pt>
                  <c:pt idx="4">
                    <c:v>1.9533386971887765E-2</c:v>
                  </c:pt>
                  <c:pt idx="5">
                    <c:v>1.9989303345219721E-2</c:v>
                  </c:pt>
                  <c:pt idx="6">
                    <c:v>2.0903630297561517E-2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Method'!$D$130:$D$136</c:f>
              <c:numCache>
                <c:formatCode>0.0000</c:formatCode>
                <c:ptCount val="7"/>
                <c:pt idx="0">
                  <c:v>0</c:v>
                </c:pt>
                <c:pt idx="1">
                  <c:v>0.51129507853421308</c:v>
                </c:pt>
                <c:pt idx="2">
                  <c:v>0.575148702744958</c:v>
                </c:pt>
                <c:pt idx="3">
                  <c:v>0.62548586635634806</c:v>
                </c:pt>
                <c:pt idx="4">
                  <c:v>0.62362152696333351</c:v>
                </c:pt>
                <c:pt idx="5">
                  <c:v>0.65205270270680393</c:v>
                </c:pt>
                <c:pt idx="6">
                  <c:v>0.65298487240331127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44-DD4A-8437-010297FD1E67}"/>
            </c:ext>
          </c:extLst>
        </c:ser>
        <c:ser>
          <c:idx val="2"/>
          <c:order val="2"/>
          <c:tx>
            <c:strRef>
              <c:f>'Boat Method'!$E$129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ysDot"/>
              </a:ln>
              <a:effectLst/>
            </c:spPr>
          </c:marker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Method'!$E$130:$E$136</c:f>
              <c:numCache>
                <c:formatCode>0.0000</c:formatCode>
                <c:ptCount val="7"/>
                <c:pt idx="0">
                  <c:v>0</c:v>
                </c:pt>
                <c:pt idx="1">
                  <c:v>0.38765658120571017</c:v>
                </c:pt>
                <c:pt idx="2">
                  <c:v>0.45881166285729463</c:v>
                </c:pt>
                <c:pt idx="3">
                  <c:v>0.4865344219423276</c:v>
                </c:pt>
                <c:pt idx="4">
                  <c:v>0.53320106640213305</c:v>
                </c:pt>
                <c:pt idx="5">
                  <c:v>0.56369610139566895</c:v>
                </c:pt>
                <c:pt idx="6">
                  <c:v>0.58448817070944381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44-DD4A-8437-010297FD1E67}"/>
            </c:ext>
          </c:extLst>
        </c:ser>
        <c:ser>
          <c:idx val="3"/>
          <c:order val="3"/>
          <c:tx>
            <c:strRef>
              <c:f>'Boat Method'!$H$129</c:f>
              <c:strCache>
                <c:ptCount val="1"/>
                <c:pt idx="0">
                  <c:v>0.2 wt% GO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Method'!$H$142:$H$148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1.0173970625079914E-2</c:v>
                  </c:pt>
                  <c:pt idx="2">
                    <c:v>3.8199048036663551E-3</c:v>
                  </c:pt>
                  <c:pt idx="3">
                    <c:v>1.1238735110674867E-2</c:v>
                  </c:pt>
                  <c:pt idx="4">
                    <c:v>1.0196355626014007E-2</c:v>
                  </c:pt>
                  <c:pt idx="5">
                    <c:v>1.1927648926484421E-2</c:v>
                  </c:pt>
                  <c:pt idx="6">
                    <c:v>1.0888403958396327E-2</c:v>
                  </c:pt>
                </c:numCache>
              </c:numRef>
            </c:plus>
            <c:minus>
              <c:numRef>
                <c:f>'Boat Method'!$H$142:$H$148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1.0173970625079914E-2</c:v>
                  </c:pt>
                  <c:pt idx="2">
                    <c:v>3.8199048036663551E-3</c:v>
                  </c:pt>
                  <c:pt idx="3">
                    <c:v>1.1238735110674867E-2</c:v>
                  </c:pt>
                  <c:pt idx="4">
                    <c:v>1.0196355626014007E-2</c:v>
                  </c:pt>
                  <c:pt idx="5">
                    <c:v>1.1927648926484421E-2</c:v>
                  </c:pt>
                  <c:pt idx="6">
                    <c:v>1.0888403958396327E-2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Method'!$H$130:$H$136</c:f>
              <c:numCache>
                <c:formatCode>0.0000</c:formatCode>
                <c:ptCount val="7"/>
                <c:pt idx="0">
                  <c:v>0</c:v>
                </c:pt>
                <c:pt idx="1">
                  <c:v>0.27034172433201487</c:v>
                </c:pt>
                <c:pt idx="2">
                  <c:v>0.28107731627299737</c:v>
                </c:pt>
                <c:pt idx="3">
                  <c:v>0.28254126062858592</c:v>
                </c:pt>
                <c:pt idx="4">
                  <c:v>0.29669272273260833</c:v>
                </c:pt>
                <c:pt idx="5">
                  <c:v>0.31523601790339639</c:v>
                </c:pt>
                <c:pt idx="6">
                  <c:v>0.32206775822947614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D44-DD4A-8437-010297FD1E67}"/>
            </c:ext>
          </c:extLst>
        </c:ser>
        <c:ser>
          <c:idx val="4"/>
          <c:order val="4"/>
          <c:tx>
            <c:strRef>
              <c:f>'Boat Method'!$I$129</c:f>
              <c:strCache>
                <c:ptCount val="1"/>
                <c:pt idx="0">
                  <c:v>0.5 wt% GO @ 100°C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Method'!$I$142:$I$148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9.2291172144705926E-3</c:v>
                  </c:pt>
                  <c:pt idx="2">
                    <c:v>6.9038823996459562E-3</c:v>
                  </c:pt>
                  <c:pt idx="3">
                    <c:v>4.0409396951713193E-3</c:v>
                  </c:pt>
                  <c:pt idx="4">
                    <c:v>9.8086616564583996E-3</c:v>
                  </c:pt>
                  <c:pt idx="5">
                    <c:v>9.7861388674788177E-3</c:v>
                  </c:pt>
                  <c:pt idx="6">
                    <c:v>3.185997460426616E-3</c:v>
                  </c:pt>
                </c:numCache>
              </c:numRef>
            </c:plus>
            <c:minus>
              <c:numRef>
                <c:f>'Boat Method'!$I$142:$I$148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9.2291172144705926E-3</c:v>
                  </c:pt>
                  <c:pt idx="2">
                    <c:v>6.9038823996459562E-3</c:v>
                  </c:pt>
                  <c:pt idx="3">
                    <c:v>4.0409396951713193E-3</c:v>
                  </c:pt>
                  <c:pt idx="4">
                    <c:v>9.8086616564583996E-3</c:v>
                  </c:pt>
                  <c:pt idx="5">
                    <c:v>9.7861388674788177E-3</c:v>
                  </c:pt>
                  <c:pt idx="6">
                    <c:v>3.185997460426616E-3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Method'!$I$130:$I$136</c:f>
              <c:numCache>
                <c:formatCode>0.0000</c:formatCode>
                <c:ptCount val="7"/>
                <c:pt idx="0">
                  <c:v>0</c:v>
                </c:pt>
                <c:pt idx="1">
                  <c:v>0.26548036289349886</c:v>
                </c:pt>
                <c:pt idx="2">
                  <c:v>0.27028109278307388</c:v>
                </c:pt>
                <c:pt idx="3">
                  <c:v>0.28036262555118147</c:v>
                </c:pt>
                <c:pt idx="4">
                  <c:v>0.28660357440762896</c:v>
                </c:pt>
                <c:pt idx="5">
                  <c:v>0.29092423130824646</c:v>
                </c:pt>
                <c:pt idx="6">
                  <c:v>0.30148583706531151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D44-DD4A-8437-010297FD1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38751991516695"/>
          <c:y val="0.17533106156733624"/>
          <c:w val="0.18280457195513744"/>
          <c:h val="0.188846830402582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Metsä OBAFree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'Boat Method'!$D$129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ot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9.5627734622863361E-3</c:v>
                  </c:pt>
                  <c:pt idx="2">
                    <c:v>1.3590260363414099E-2</c:v>
                  </c:pt>
                  <c:pt idx="3">
                    <c:v>1.5740451787141351E-2</c:v>
                  </c:pt>
                  <c:pt idx="4">
                    <c:v>1.9533386971887765E-2</c:v>
                  </c:pt>
                  <c:pt idx="5">
                    <c:v>1.9989303345219721E-2</c:v>
                  </c:pt>
                  <c:pt idx="6">
                    <c:v>2.0903630297561517E-2</c:v>
                  </c:pt>
                </c:numCache>
              </c:numRef>
            </c:plus>
            <c:minus>
              <c:numRef>
                <c:f>'Boat Method'!$C$142:$C$148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9.5627734622863361E-3</c:v>
                  </c:pt>
                  <c:pt idx="2">
                    <c:v>1.3590260363414099E-2</c:v>
                  </c:pt>
                  <c:pt idx="3">
                    <c:v>1.5740451787141351E-2</c:v>
                  </c:pt>
                  <c:pt idx="4">
                    <c:v>1.9533386971887765E-2</c:v>
                  </c:pt>
                  <c:pt idx="5">
                    <c:v>1.9989303345219721E-2</c:v>
                  </c:pt>
                  <c:pt idx="6">
                    <c:v>2.0903630297561517E-2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Method'!$D$130:$D$136</c:f>
              <c:numCache>
                <c:formatCode>0.0000</c:formatCode>
                <c:ptCount val="7"/>
                <c:pt idx="0">
                  <c:v>0</c:v>
                </c:pt>
                <c:pt idx="1">
                  <c:v>0.51129507853421308</c:v>
                </c:pt>
                <c:pt idx="2">
                  <c:v>0.575148702744958</c:v>
                </c:pt>
                <c:pt idx="3">
                  <c:v>0.62548586635634806</c:v>
                </c:pt>
                <c:pt idx="4">
                  <c:v>0.62362152696333351</c:v>
                </c:pt>
                <c:pt idx="5">
                  <c:v>0.65205270270680393</c:v>
                </c:pt>
                <c:pt idx="6">
                  <c:v>0.65298487240331127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B9-E74D-AFB6-7942D7F3053D}"/>
            </c:ext>
          </c:extLst>
        </c:ser>
        <c:ser>
          <c:idx val="3"/>
          <c:order val="1"/>
          <c:tx>
            <c:strRef>
              <c:f>'Boat Method'!$F$129</c:f>
              <c:strCache>
                <c:ptCount val="1"/>
                <c:pt idx="0">
                  <c:v>25% WBBC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ot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Method'!$F$142:$F$148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5.7661530307589123E-3</c:v>
                  </c:pt>
                  <c:pt idx="2">
                    <c:v>1.1104505748550418E-2</c:v>
                  </c:pt>
                  <c:pt idx="3">
                    <c:v>9.2139409800817244E-3</c:v>
                  </c:pt>
                  <c:pt idx="4">
                    <c:v>6.0127972963679201E-3</c:v>
                  </c:pt>
                  <c:pt idx="5">
                    <c:v>7.3421928480699675E-3</c:v>
                  </c:pt>
                  <c:pt idx="6">
                    <c:v>4.2135572253192803E-3</c:v>
                  </c:pt>
                </c:numCache>
              </c:numRef>
            </c:plus>
            <c:minus>
              <c:numRef>
                <c:f>'Boat Method'!$F$142:$F$148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5.7661530307589123E-3</c:v>
                  </c:pt>
                  <c:pt idx="2">
                    <c:v>1.1104505748550418E-2</c:v>
                  </c:pt>
                  <c:pt idx="3">
                    <c:v>9.2139409800817244E-3</c:v>
                  </c:pt>
                  <c:pt idx="4">
                    <c:v>6.0127972963679201E-3</c:v>
                  </c:pt>
                  <c:pt idx="5">
                    <c:v>7.3421928480699675E-3</c:v>
                  </c:pt>
                  <c:pt idx="6">
                    <c:v>4.2135572253192803E-3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Method'!$F$130:$F$136</c:f>
              <c:numCache>
                <c:formatCode>0.0000</c:formatCode>
                <c:ptCount val="7"/>
                <c:pt idx="0">
                  <c:v>0</c:v>
                </c:pt>
                <c:pt idx="1">
                  <c:v>0.13836403442827419</c:v>
                </c:pt>
                <c:pt idx="2">
                  <c:v>0.21103594568585438</c:v>
                </c:pt>
                <c:pt idx="3">
                  <c:v>0.23731279495413199</c:v>
                </c:pt>
                <c:pt idx="4">
                  <c:v>0.24470315881083501</c:v>
                </c:pt>
                <c:pt idx="5">
                  <c:v>0.25086179535808761</c:v>
                </c:pt>
                <c:pt idx="6">
                  <c:v>0.25250409843735494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B9-E74D-AFB6-7942D7F3053D}"/>
            </c:ext>
          </c:extLst>
        </c:ser>
        <c:ser>
          <c:idx val="1"/>
          <c:order val="2"/>
          <c:tx>
            <c:strRef>
              <c:f>'Boat Method'!$I$141</c:f>
              <c:strCache>
                <c:ptCount val="1"/>
                <c:pt idx="0">
                  <c:v>0.5 wt% GO @ 100°C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Method'!$I$142:$I$148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9.2291172144705926E-3</c:v>
                  </c:pt>
                  <c:pt idx="2">
                    <c:v>6.9038823996459562E-3</c:v>
                  </c:pt>
                  <c:pt idx="3">
                    <c:v>4.0409396951713193E-3</c:v>
                  </c:pt>
                  <c:pt idx="4">
                    <c:v>9.8086616564583996E-3</c:v>
                  </c:pt>
                  <c:pt idx="5">
                    <c:v>9.7861388674788177E-3</c:v>
                  </c:pt>
                  <c:pt idx="6">
                    <c:v>3.185997460426616E-3</c:v>
                  </c:pt>
                </c:numCache>
              </c:numRef>
            </c:plus>
            <c:minus>
              <c:numRef>
                <c:f>'Boat Method'!$I$142:$I$148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9.2291172144705926E-3</c:v>
                  </c:pt>
                  <c:pt idx="2">
                    <c:v>6.9038823996459562E-3</c:v>
                  </c:pt>
                  <c:pt idx="3">
                    <c:v>4.0409396951713193E-3</c:v>
                  </c:pt>
                  <c:pt idx="4">
                    <c:v>9.8086616564583996E-3</c:v>
                  </c:pt>
                  <c:pt idx="5">
                    <c:v>9.7861388674788177E-3</c:v>
                  </c:pt>
                  <c:pt idx="6">
                    <c:v>3.185997460426616E-3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Method'!$I$130:$I$136</c:f>
              <c:numCache>
                <c:formatCode>0.0000</c:formatCode>
                <c:ptCount val="7"/>
                <c:pt idx="0">
                  <c:v>0</c:v>
                </c:pt>
                <c:pt idx="1">
                  <c:v>0.26548036289349886</c:v>
                </c:pt>
                <c:pt idx="2">
                  <c:v>0.27028109278307388</c:v>
                </c:pt>
                <c:pt idx="3">
                  <c:v>0.28036262555118147</c:v>
                </c:pt>
                <c:pt idx="4">
                  <c:v>0.28660357440762896</c:v>
                </c:pt>
                <c:pt idx="5">
                  <c:v>0.29092423130824646</c:v>
                </c:pt>
                <c:pt idx="6">
                  <c:v>0.30148583706531151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0B9-E74D-AFB6-7942D7F30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697203948709905"/>
          <c:y val="0.13080267156315337"/>
          <c:w val="0.18366073103514527"/>
          <c:h val="0.113308098241549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Metsä OBAFree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'Boat Method'!$C$129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1270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4.6949868287186766E-2</c:v>
                  </c:pt>
                  <c:pt idx="2">
                    <c:v>7.4173658161670319E-2</c:v>
                  </c:pt>
                  <c:pt idx="3">
                    <c:v>6.6945924520680308E-2</c:v>
                  </c:pt>
                  <c:pt idx="4">
                    <c:v>5.9489887170040556E-2</c:v>
                  </c:pt>
                  <c:pt idx="5">
                    <c:v>7.1484921233123777E-2</c:v>
                  </c:pt>
                  <c:pt idx="6">
                    <c:v>6.372991983639599E-2</c:v>
                  </c:pt>
                </c:numCache>
              </c:numRef>
            </c:plus>
            <c:minus>
              <c:numRef>
                <c:f>'Boat Method'!$E$142:$E$148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4.6949868287186766E-2</c:v>
                  </c:pt>
                  <c:pt idx="2">
                    <c:v>7.4173658161670319E-2</c:v>
                  </c:pt>
                  <c:pt idx="3">
                    <c:v>6.6945924520680308E-2</c:v>
                  </c:pt>
                  <c:pt idx="4">
                    <c:v>5.9489887170040556E-2</c:v>
                  </c:pt>
                  <c:pt idx="5">
                    <c:v>7.1484921233123777E-2</c:v>
                  </c:pt>
                  <c:pt idx="6">
                    <c:v>6.372991983639599E-2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Method'!$C$130:$C$136</c:f>
              <c:numCache>
                <c:formatCode>0.0000</c:formatCode>
                <c:ptCount val="7"/>
                <c:pt idx="0">
                  <c:v>0</c:v>
                </c:pt>
                <c:pt idx="1">
                  <c:v>0.2944084723827422</c:v>
                </c:pt>
                <c:pt idx="2">
                  <c:v>0.32496487066958368</c:v>
                </c:pt>
                <c:pt idx="3">
                  <c:v>0.35649131334648354</c:v>
                </c:pt>
                <c:pt idx="4">
                  <c:v>0.36667677944209737</c:v>
                </c:pt>
                <c:pt idx="5">
                  <c:v>0.38850277821841261</c:v>
                </c:pt>
                <c:pt idx="6">
                  <c:v>0.40499353284940642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CE-D744-ABAC-90D86D4DF45C}"/>
            </c:ext>
          </c:extLst>
        </c:ser>
        <c:ser>
          <c:idx val="0"/>
          <c:order val="1"/>
          <c:tx>
            <c:strRef>
              <c:f>'Boat Method'!$D$129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ot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9.5627734622863361E-3</c:v>
                  </c:pt>
                  <c:pt idx="2">
                    <c:v>1.3590260363414099E-2</c:v>
                  </c:pt>
                  <c:pt idx="3">
                    <c:v>1.5740451787141351E-2</c:v>
                  </c:pt>
                  <c:pt idx="4">
                    <c:v>1.9533386971887765E-2</c:v>
                  </c:pt>
                  <c:pt idx="5">
                    <c:v>1.9989303345219721E-2</c:v>
                  </c:pt>
                  <c:pt idx="6">
                    <c:v>2.0903630297561517E-2</c:v>
                  </c:pt>
                </c:numCache>
              </c:numRef>
            </c:plus>
            <c:minus>
              <c:numRef>
                <c:f>'Boat Method'!$C$142:$C$148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9.5627734622863361E-3</c:v>
                  </c:pt>
                  <c:pt idx="2">
                    <c:v>1.3590260363414099E-2</c:v>
                  </c:pt>
                  <c:pt idx="3">
                    <c:v>1.5740451787141351E-2</c:v>
                  </c:pt>
                  <c:pt idx="4">
                    <c:v>1.9533386971887765E-2</c:v>
                  </c:pt>
                  <c:pt idx="5">
                    <c:v>1.9989303345219721E-2</c:v>
                  </c:pt>
                  <c:pt idx="6">
                    <c:v>2.0903630297561517E-2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Method'!$D$130:$D$136</c:f>
              <c:numCache>
                <c:formatCode>0.0000</c:formatCode>
                <c:ptCount val="7"/>
                <c:pt idx="0">
                  <c:v>0</c:v>
                </c:pt>
                <c:pt idx="1">
                  <c:v>0.51129507853421308</c:v>
                </c:pt>
                <c:pt idx="2">
                  <c:v>0.575148702744958</c:v>
                </c:pt>
                <c:pt idx="3">
                  <c:v>0.62548586635634806</c:v>
                </c:pt>
                <c:pt idx="4">
                  <c:v>0.62362152696333351</c:v>
                </c:pt>
                <c:pt idx="5">
                  <c:v>0.65205270270680393</c:v>
                </c:pt>
                <c:pt idx="6">
                  <c:v>0.65298487240331127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CE-D744-ABAC-90D86D4DF45C}"/>
            </c:ext>
          </c:extLst>
        </c:ser>
        <c:ser>
          <c:idx val="2"/>
          <c:order val="2"/>
          <c:tx>
            <c:strRef>
              <c:f>'Boat Method'!$E$129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ysDot"/>
              </a:ln>
              <a:effectLst/>
            </c:spPr>
          </c:marker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Method'!$E$130:$E$136</c:f>
              <c:numCache>
                <c:formatCode>0.0000</c:formatCode>
                <c:ptCount val="7"/>
                <c:pt idx="0">
                  <c:v>0</c:v>
                </c:pt>
                <c:pt idx="1">
                  <c:v>0.38765658120571017</c:v>
                </c:pt>
                <c:pt idx="2">
                  <c:v>0.45881166285729463</c:v>
                </c:pt>
                <c:pt idx="3">
                  <c:v>0.4865344219423276</c:v>
                </c:pt>
                <c:pt idx="4">
                  <c:v>0.53320106640213305</c:v>
                </c:pt>
                <c:pt idx="5">
                  <c:v>0.56369610139566895</c:v>
                </c:pt>
                <c:pt idx="6">
                  <c:v>0.58448817070944381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CE-D744-ABAC-90D86D4DF45C}"/>
            </c:ext>
          </c:extLst>
        </c:ser>
        <c:ser>
          <c:idx val="3"/>
          <c:order val="3"/>
          <c:tx>
            <c:strRef>
              <c:f>'Boat Method'!$F$129</c:f>
              <c:strCache>
                <c:ptCount val="1"/>
                <c:pt idx="0">
                  <c:v>25% WBBC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ot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Method'!$F$142:$F$148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5.7661530307589123E-3</c:v>
                  </c:pt>
                  <c:pt idx="2">
                    <c:v>1.1104505748550418E-2</c:v>
                  </c:pt>
                  <c:pt idx="3">
                    <c:v>9.2139409800817244E-3</c:v>
                  </c:pt>
                  <c:pt idx="4">
                    <c:v>6.0127972963679201E-3</c:v>
                  </c:pt>
                  <c:pt idx="5">
                    <c:v>7.3421928480699675E-3</c:v>
                  </c:pt>
                  <c:pt idx="6">
                    <c:v>4.2135572253192803E-3</c:v>
                  </c:pt>
                </c:numCache>
              </c:numRef>
            </c:plus>
            <c:minus>
              <c:numRef>
                <c:f>'Boat Method'!$F$142:$F$148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5.7661530307589123E-3</c:v>
                  </c:pt>
                  <c:pt idx="2">
                    <c:v>1.1104505748550418E-2</c:v>
                  </c:pt>
                  <c:pt idx="3">
                    <c:v>9.2139409800817244E-3</c:v>
                  </c:pt>
                  <c:pt idx="4">
                    <c:v>6.0127972963679201E-3</c:v>
                  </c:pt>
                  <c:pt idx="5">
                    <c:v>7.3421928480699675E-3</c:v>
                  </c:pt>
                  <c:pt idx="6">
                    <c:v>4.2135572253192803E-3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Method'!$F$130:$F$136</c:f>
              <c:numCache>
                <c:formatCode>0.0000</c:formatCode>
                <c:ptCount val="7"/>
                <c:pt idx="0">
                  <c:v>0</c:v>
                </c:pt>
                <c:pt idx="1">
                  <c:v>0.13836403442827419</c:v>
                </c:pt>
                <c:pt idx="2">
                  <c:v>0.21103594568585438</c:v>
                </c:pt>
                <c:pt idx="3">
                  <c:v>0.23731279495413199</c:v>
                </c:pt>
                <c:pt idx="4">
                  <c:v>0.24470315881083501</c:v>
                </c:pt>
                <c:pt idx="5">
                  <c:v>0.25086179535808761</c:v>
                </c:pt>
                <c:pt idx="6">
                  <c:v>0.25250409843735494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CE-D744-ABAC-90D86D4DF45C}"/>
            </c:ext>
          </c:extLst>
        </c:ser>
        <c:ser>
          <c:idx val="4"/>
          <c:order val="4"/>
          <c:tx>
            <c:strRef>
              <c:f>'Boat Method'!$G$129</c:f>
              <c:strCache>
                <c:ptCount val="1"/>
                <c:pt idx="0">
                  <c:v>25% WBBC + 0.1% GO @ 100°C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Method'!$G$142:$G$148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1.8531223133912804E-2</c:v>
                  </c:pt>
                  <c:pt idx="2">
                    <c:v>1.9256946174855408E-2</c:v>
                  </c:pt>
                  <c:pt idx="3">
                    <c:v>1.687904740208173E-2</c:v>
                  </c:pt>
                  <c:pt idx="4">
                    <c:v>1.7646865486710461E-2</c:v>
                  </c:pt>
                  <c:pt idx="5">
                    <c:v>1.8905629100599442E-2</c:v>
                  </c:pt>
                  <c:pt idx="6">
                    <c:v>1.775874627156249E-2</c:v>
                  </c:pt>
                </c:numCache>
              </c:numRef>
            </c:plus>
            <c:minus>
              <c:numRef>
                <c:f>'Boat Method'!$G$142:$G$148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1.8531223133912804E-2</c:v>
                  </c:pt>
                  <c:pt idx="2">
                    <c:v>1.9256946174855408E-2</c:v>
                  </c:pt>
                  <c:pt idx="3">
                    <c:v>1.687904740208173E-2</c:v>
                  </c:pt>
                  <c:pt idx="4">
                    <c:v>1.7646865486710461E-2</c:v>
                  </c:pt>
                  <c:pt idx="5">
                    <c:v>1.8905629100599442E-2</c:v>
                  </c:pt>
                  <c:pt idx="6">
                    <c:v>1.775874627156249E-2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Method'!$G$130:$G$136</c:f>
              <c:numCache>
                <c:formatCode>0.0000</c:formatCode>
                <c:ptCount val="7"/>
                <c:pt idx="0">
                  <c:v>0</c:v>
                </c:pt>
                <c:pt idx="1">
                  <c:v>0.13323378267704167</c:v>
                </c:pt>
                <c:pt idx="2">
                  <c:v>0.19386712090132405</c:v>
                </c:pt>
                <c:pt idx="3">
                  <c:v>0.21540791211258231</c:v>
                </c:pt>
                <c:pt idx="4">
                  <c:v>0.2309651502096022</c:v>
                </c:pt>
                <c:pt idx="5">
                  <c:v>0.23415637853719601</c:v>
                </c:pt>
                <c:pt idx="6">
                  <c:v>0.24333115997902818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1CE-D744-ABAC-90D86D4DF45C}"/>
            </c:ext>
          </c:extLst>
        </c:ser>
        <c:ser>
          <c:idx val="5"/>
          <c:order val="5"/>
          <c:tx>
            <c:strRef>
              <c:f>'Boat Method'!$I$129</c:f>
              <c:strCache>
                <c:ptCount val="1"/>
                <c:pt idx="0">
                  <c:v>0.5 wt% GO @ 100°C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Method'!$I$142:$I$148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9.2291172144705926E-3</c:v>
                  </c:pt>
                  <c:pt idx="2">
                    <c:v>6.9038823996459562E-3</c:v>
                  </c:pt>
                  <c:pt idx="3">
                    <c:v>4.0409396951713193E-3</c:v>
                  </c:pt>
                  <c:pt idx="4">
                    <c:v>9.8086616564583996E-3</c:v>
                  </c:pt>
                  <c:pt idx="5">
                    <c:v>9.7861388674788177E-3</c:v>
                  </c:pt>
                  <c:pt idx="6">
                    <c:v>3.185997460426616E-3</c:v>
                  </c:pt>
                </c:numCache>
              </c:numRef>
            </c:plus>
            <c:minus>
              <c:numRef>
                <c:f>'Boat Method'!$I$142:$I$148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9.2291172144705926E-3</c:v>
                  </c:pt>
                  <c:pt idx="2">
                    <c:v>6.9038823996459562E-3</c:v>
                  </c:pt>
                  <c:pt idx="3">
                    <c:v>4.0409396951713193E-3</c:v>
                  </c:pt>
                  <c:pt idx="4">
                    <c:v>9.8086616564583996E-3</c:v>
                  </c:pt>
                  <c:pt idx="5">
                    <c:v>9.7861388674788177E-3</c:v>
                  </c:pt>
                  <c:pt idx="6">
                    <c:v>3.185997460426616E-3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Method'!$I$130:$I$136</c:f>
              <c:numCache>
                <c:formatCode>0.0000</c:formatCode>
                <c:ptCount val="7"/>
                <c:pt idx="0">
                  <c:v>0</c:v>
                </c:pt>
                <c:pt idx="1">
                  <c:v>0.26548036289349886</c:v>
                </c:pt>
                <c:pt idx="2">
                  <c:v>0.27028109278307388</c:v>
                </c:pt>
                <c:pt idx="3">
                  <c:v>0.28036262555118147</c:v>
                </c:pt>
                <c:pt idx="4">
                  <c:v>0.28660357440762896</c:v>
                </c:pt>
                <c:pt idx="5">
                  <c:v>0.29092423130824646</c:v>
                </c:pt>
                <c:pt idx="6">
                  <c:v>0.30148583706531151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1CE-D744-ABAC-90D86D4DF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86383650733012"/>
          <c:y val="0.17310463831939177"/>
          <c:w val="0.25558913236201136"/>
          <c:h val="0.22561158442104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HelloFresh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'Boat Method (Retest)'!$D$141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ot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 (Retest)'!$D$142:$D$148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0.12723213842582981</c:v>
                  </c:pt>
                  <c:pt idx="2">
                    <c:v>0.13136292466267202</c:v>
                  </c:pt>
                  <c:pt idx="3">
                    <c:v>0.134284860746891</c:v>
                  </c:pt>
                  <c:pt idx="4">
                    <c:v>0.12517170131277844</c:v>
                  </c:pt>
                  <c:pt idx="5">
                    <c:v>0.109941473521196</c:v>
                  </c:pt>
                  <c:pt idx="6">
                    <c:v>0.10419045694508391</c:v>
                  </c:pt>
                </c:numCache>
              </c:numRef>
            </c:plus>
            <c:minus>
              <c:numRef>
                <c:f>'Boat Method (Retest)'!$D$142:$D$148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0.12723213842582981</c:v>
                  </c:pt>
                  <c:pt idx="2">
                    <c:v>0.13136292466267202</c:v>
                  </c:pt>
                  <c:pt idx="3">
                    <c:v>0.134284860746891</c:v>
                  </c:pt>
                  <c:pt idx="4">
                    <c:v>0.12517170131277844</c:v>
                  </c:pt>
                  <c:pt idx="5">
                    <c:v>0.109941473521196</c:v>
                  </c:pt>
                  <c:pt idx="6">
                    <c:v>0.10419045694508391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 (Retest)'!$B$130:$B$136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(Retest)'!$D$130:$D$136</c:f>
              <c:numCache>
                <c:formatCode>0.0000</c:formatCode>
                <c:ptCount val="7"/>
                <c:pt idx="0">
                  <c:v>0</c:v>
                </c:pt>
                <c:pt idx="1">
                  <c:v>0.4364713004960451</c:v>
                </c:pt>
                <c:pt idx="2">
                  <c:v>0.51531160069446025</c:v>
                </c:pt>
                <c:pt idx="3">
                  <c:v>0.53478420496033385</c:v>
                </c:pt>
                <c:pt idx="4">
                  <c:v>0.57372941349208095</c:v>
                </c:pt>
                <c:pt idx="5">
                  <c:v>0.59462684246033559</c:v>
                </c:pt>
                <c:pt idx="6">
                  <c:v>0.62169851180557445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4D-F04B-A77B-AAE64DCE06F5}"/>
            </c:ext>
          </c:extLst>
        </c:ser>
        <c:ser>
          <c:idx val="2"/>
          <c:order val="1"/>
          <c:tx>
            <c:strRef>
              <c:f>'Boat Method (Retest)'!$E$141</c:f>
              <c:strCache>
                <c:ptCount val="1"/>
                <c:pt idx="0">
                  <c:v>0.1% GO @ 100°C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ysDot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 (Retest)'!$I$142:$I$148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9.7806567434322901E-3</c:v>
                  </c:pt>
                  <c:pt idx="2">
                    <c:v>9.9438732493841893E-3</c:v>
                  </c:pt>
                  <c:pt idx="3">
                    <c:v>8.7900428216988822E-3</c:v>
                  </c:pt>
                  <c:pt idx="4">
                    <c:v>1.4623887128068565E-2</c:v>
                  </c:pt>
                  <c:pt idx="5">
                    <c:v>8.4974022258437216E-3</c:v>
                  </c:pt>
                  <c:pt idx="6">
                    <c:v>1.2651032514078193E-2</c:v>
                  </c:pt>
                </c:numCache>
              </c:numRef>
            </c:plus>
            <c:minus>
              <c:numRef>
                <c:f>'Boat Method (Retest)'!$I$142:$I$148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9.7806567434322901E-3</c:v>
                  </c:pt>
                  <c:pt idx="2">
                    <c:v>9.9438732493841893E-3</c:v>
                  </c:pt>
                  <c:pt idx="3">
                    <c:v>8.7900428216988822E-3</c:v>
                  </c:pt>
                  <c:pt idx="4">
                    <c:v>1.4623887128068565E-2</c:v>
                  </c:pt>
                  <c:pt idx="5">
                    <c:v>8.4974022258437216E-3</c:v>
                  </c:pt>
                  <c:pt idx="6">
                    <c:v>1.2651032514078193E-2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 (Retest)'!$B$130:$B$136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(Retest)'!$I$130:$I$136</c:f>
              <c:numCache>
                <c:formatCode>0.0000</c:formatCode>
                <c:ptCount val="7"/>
                <c:pt idx="0">
                  <c:v>0</c:v>
                </c:pt>
                <c:pt idx="1">
                  <c:v>0.29257448220778787</c:v>
                </c:pt>
                <c:pt idx="2">
                  <c:v>0.3111973135710977</c:v>
                </c:pt>
                <c:pt idx="3">
                  <c:v>0.32736977238660353</c:v>
                </c:pt>
                <c:pt idx="4">
                  <c:v>0.34550252924035252</c:v>
                </c:pt>
                <c:pt idx="5">
                  <c:v>0.34746282727859573</c:v>
                </c:pt>
                <c:pt idx="6">
                  <c:v>0.35677424296025051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4D-F04B-A77B-AAE64DCE06F5}"/>
            </c:ext>
          </c:extLst>
        </c:ser>
        <c:ser>
          <c:idx val="3"/>
          <c:order val="2"/>
          <c:tx>
            <c:strRef>
              <c:f>'Boat Method (Retest)'!$F$129</c:f>
              <c:strCache>
                <c:ptCount val="1"/>
                <c:pt idx="0">
                  <c:v>0.2 wt% GO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 (Retest)'!$K$142:$K$148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7.3353113849861807E-3</c:v>
                  </c:pt>
                  <c:pt idx="2">
                    <c:v>8.461110697118376E-3</c:v>
                  </c:pt>
                  <c:pt idx="3">
                    <c:v>7.1782201313358371E-3</c:v>
                  </c:pt>
                  <c:pt idx="4">
                    <c:v>5.5273243739283415E-3</c:v>
                  </c:pt>
                  <c:pt idx="5">
                    <c:v>5.925471496531525E-3</c:v>
                  </c:pt>
                  <c:pt idx="6">
                    <c:v>6.8532435045261355E-3</c:v>
                  </c:pt>
                </c:numCache>
              </c:numRef>
            </c:plus>
            <c:minus>
              <c:numRef>
                <c:f>'Boat Method (Retest)'!$K$142:$K$148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7.3353113849861807E-3</c:v>
                  </c:pt>
                  <c:pt idx="2">
                    <c:v>8.461110697118376E-3</c:v>
                  </c:pt>
                  <c:pt idx="3">
                    <c:v>7.1782201313358371E-3</c:v>
                  </c:pt>
                  <c:pt idx="4">
                    <c:v>5.5273243739283415E-3</c:v>
                  </c:pt>
                  <c:pt idx="5">
                    <c:v>5.925471496531525E-3</c:v>
                  </c:pt>
                  <c:pt idx="6">
                    <c:v>6.8532435045261355E-3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 (Retest)'!$B$130:$B$136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(Retest)'!$K$130:$K$136</c:f>
              <c:numCache>
                <c:formatCode>0.0000</c:formatCode>
                <c:ptCount val="7"/>
                <c:pt idx="0">
                  <c:v>0</c:v>
                </c:pt>
                <c:pt idx="1">
                  <c:v>0.26497392836152356</c:v>
                </c:pt>
                <c:pt idx="2">
                  <c:v>0.28254126062858592</c:v>
                </c:pt>
                <c:pt idx="3">
                  <c:v>0.29181290821397998</c:v>
                </c:pt>
                <c:pt idx="4">
                  <c:v>0.30791629612545385</c:v>
                </c:pt>
                <c:pt idx="5">
                  <c:v>0.31279611064408219</c:v>
                </c:pt>
                <c:pt idx="6">
                  <c:v>0.31084418483663079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44D-F04B-A77B-AAE64DCE06F5}"/>
            </c:ext>
          </c:extLst>
        </c:ser>
        <c:ser>
          <c:idx val="4"/>
          <c:order val="3"/>
          <c:tx>
            <c:strRef>
              <c:f>'Boat Method (Retest)'!$G$129</c:f>
              <c:strCache>
                <c:ptCount val="1"/>
                <c:pt idx="0">
                  <c:v>0.5 wt% GO @ 100°C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 (Retest)'!$M$142:$M$148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1.005131877908739E-2</c:v>
                  </c:pt>
                  <c:pt idx="2">
                    <c:v>7.8085501145171996E-3</c:v>
                  </c:pt>
                  <c:pt idx="3">
                    <c:v>3.3356472930014302E-3</c:v>
                  </c:pt>
                  <c:pt idx="4">
                    <c:v>6.9008407788440718E-3</c:v>
                  </c:pt>
                  <c:pt idx="5">
                    <c:v>9.3636081594044348E-3</c:v>
                  </c:pt>
                  <c:pt idx="6">
                    <c:v>7.8369966572315822E-3</c:v>
                  </c:pt>
                </c:numCache>
              </c:numRef>
            </c:plus>
            <c:minus>
              <c:numRef>
                <c:f>'Boat Method (Retest)'!$M$142:$M$148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1.005131877908739E-2</c:v>
                  </c:pt>
                  <c:pt idx="2">
                    <c:v>7.8085501145171996E-3</c:v>
                  </c:pt>
                  <c:pt idx="3">
                    <c:v>3.3356472930014302E-3</c:v>
                  </c:pt>
                  <c:pt idx="4">
                    <c:v>6.9008407788440718E-3</c:v>
                  </c:pt>
                  <c:pt idx="5">
                    <c:v>9.3636081594044348E-3</c:v>
                  </c:pt>
                  <c:pt idx="6">
                    <c:v>7.8369966572315822E-3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 (Retest)'!$B$130:$B$136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(Retest)'!$M$130:$M$136</c:f>
              <c:numCache>
                <c:formatCode>0.0000</c:formatCode>
                <c:ptCount val="7"/>
                <c:pt idx="0">
                  <c:v>0</c:v>
                </c:pt>
                <c:pt idx="1">
                  <c:v>0.26322584290738199</c:v>
                </c:pt>
                <c:pt idx="2">
                  <c:v>0.28009929437580394</c:v>
                </c:pt>
                <c:pt idx="3">
                  <c:v>0.29166966109700754</c:v>
                </c:pt>
                <c:pt idx="4">
                  <c:v>0.2960085486174589</c:v>
                </c:pt>
                <c:pt idx="5">
                  <c:v>0.3008295347512937</c:v>
                </c:pt>
                <c:pt idx="6">
                  <c:v>0.30275792920482769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44D-F04B-A77B-AAE64DCE06F5}"/>
            </c:ext>
          </c:extLst>
        </c:ser>
        <c:ser>
          <c:idx val="1"/>
          <c:order val="4"/>
          <c:tx>
            <c:strRef>
              <c:f>'Boat Method (Retest)'!$J$129</c:f>
              <c:strCache>
                <c:ptCount val="1"/>
                <c:pt idx="0">
                  <c:v>0.15% GO @ 100°C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 (Retest)'!$J$142:$J$148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1.2265025866744881E-2</c:v>
                  </c:pt>
                  <c:pt idx="2">
                    <c:v>1.5473952385165919E-2</c:v>
                  </c:pt>
                  <c:pt idx="3">
                    <c:v>1.7587435617507027E-2</c:v>
                  </c:pt>
                  <c:pt idx="4">
                    <c:v>2.0486414932924874E-2</c:v>
                  </c:pt>
                  <c:pt idx="5">
                    <c:v>2.2196470845322846E-2</c:v>
                  </c:pt>
                  <c:pt idx="6">
                    <c:v>2.195454023291064E-2</c:v>
                  </c:pt>
                </c:numCache>
              </c:numRef>
            </c:plus>
            <c:minus>
              <c:numRef>
                <c:f>'Boat Method (Retest)'!$J$142:$J$148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1.2265025866744881E-2</c:v>
                  </c:pt>
                  <c:pt idx="2">
                    <c:v>1.5473952385165919E-2</c:v>
                  </c:pt>
                  <c:pt idx="3">
                    <c:v>1.7587435617507027E-2</c:v>
                  </c:pt>
                  <c:pt idx="4">
                    <c:v>2.0486414932924874E-2</c:v>
                  </c:pt>
                  <c:pt idx="5">
                    <c:v>2.2196470845322846E-2</c:v>
                  </c:pt>
                  <c:pt idx="6">
                    <c:v>2.195454023291064E-2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 (Retest)'!$B$130:$B$136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(Retest)'!$J$130:$J$136</c:f>
              <c:numCache>
                <c:formatCode>0.0000</c:formatCode>
                <c:ptCount val="7"/>
                <c:pt idx="0">
                  <c:v>0</c:v>
                </c:pt>
                <c:pt idx="1">
                  <c:v>0.29504435139069196</c:v>
                </c:pt>
                <c:pt idx="2">
                  <c:v>0.31239990147249735</c:v>
                </c:pt>
                <c:pt idx="3">
                  <c:v>0.3230060709669339</c:v>
                </c:pt>
                <c:pt idx="4">
                  <c:v>0.33120174739445313</c:v>
                </c:pt>
                <c:pt idx="5">
                  <c:v>0.34759310024949164</c:v>
                </c:pt>
                <c:pt idx="6">
                  <c:v>0.35096779054317595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EC-0C44-B3ED-07940FB9450E}"/>
            </c:ext>
          </c:extLst>
        </c:ser>
        <c:ser>
          <c:idx val="5"/>
          <c:order val="5"/>
          <c:tx>
            <c:strRef>
              <c:f>'Boat Method (Retest)'!$L$141</c:f>
              <c:strCache>
                <c:ptCount val="1"/>
                <c:pt idx="0">
                  <c:v>0.35 wt% GO @ 100°C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 (Retest)'!$L$142:$L$148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1.1771936706442653E-2</c:v>
                  </c:pt>
                  <c:pt idx="2">
                    <c:v>1.5543889598050321E-2</c:v>
                  </c:pt>
                  <c:pt idx="3">
                    <c:v>1.8085885022230175E-2</c:v>
                  </c:pt>
                  <c:pt idx="4">
                    <c:v>1.8637223368858143E-2</c:v>
                  </c:pt>
                  <c:pt idx="5">
                    <c:v>1.6661540079348138E-2</c:v>
                  </c:pt>
                  <c:pt idx="6">
                    <c:v>1.86492902029931E-2</c:v>
                  </c:pt>
                </c:numCache>
              </c:numRef>
            </c:plus>
            <c:minus>
              <c:numRef>
                <c:f>'Boat Method (Retest)'!$L$142:$L$148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1.1771936706442653E-2</c:v>
                  </c:pt>
                  <c:pt idx="2">
                    <c:v>1.5543889598050321E-2</c:v>
                  </c:pt>
                  <c:pt idx="3">
                    <c:v>1.8085885022230175E-2</c:v>
                  </c:pt>
                  <c:pt idx="4">
                    <c:v>1.8637223368858143E-2</c:v>
                  </c:pt>
                  <c:pt idx="5">
                    <c:v>1.6661540079348138E-2</c:v>
                  </c:pt>
                  <c:pt idx="6">
                    <c:v>1.86492902029931E-2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 (Retest)'!$B$142:$B$148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(Retest)'!$L$130:$L$136</c:f>
              <c:numCache>
                <c:formatCode>0.0000</c:formatCode>
                <c:ptCount val="7"/>
                <c:pt idx="0">
                  <c:v>0</c:v>
                </c:pt>
                <c:pt idx="1">
                  <c:v>0.26756998968543388</c:v>
                </c:pt>
                <c:pt idx="2">
                  <c:v>0.28647439113060041</c:v>
                </c:pt>
                <c:pt idx="3">
                  <c:v>0.29132167355243793</c:v>
                </c:pt>
                <c:pt idx="4">
                  <c:v>0.30101623839611308</c:v>
                </c:pt>
                <c:pt idx="5">
                  <c:v>0.31071080323978822</c:v>
                </c:pt>
                <c:pt idx="6">
                  <c:v>0.31168025972415586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EC-0C44-B3ED-07940FB9450E}"/>
            </c:ext>
          </c:extLst>
        </c:ser>
        <c:ser>
          <c:idx val="6"/>
          <c:order val="6"/>
          <c:tx>
            <c:strRef>
              <c:f>'Boat Method (Retest)'!$C$129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rgbClr val="FFC54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542"/>
              </a:solidFill>
              <a:ln w="9525">
                <a:noFill/>
              </a:ln>
              <a:effectLst/>
            </c:spPr>
          </c:marker>
          <c:xVal>
            <c:numRef>
              <c:f>'Boat Method (Retest)'!$B$130:$B$136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(Retest)'!$C$130:$C$136</c:f>
              <c:numCache>
                <c:formatCode>0.0000</c:formatCode>
                <c:ptCount val="7"/>
                <c:pt idx="0">
                  <c:v>0</c:v>
                </c:pt>
                <c:pt idx="1">
                  <c:v>0.2944084723827422</c:v>
                </c:pt>
                <c:pt idx="2">
                  <c:v>0.32496487066958368</c:v>
                </c:pt>
                <c:pt idx="3">
                  <c:v>0.35649131334648354</c:v>
                </c:pt>
                <c:pt idx="4">
                  <c:v>0.36667677944209737</c:v>
                </c:pt>
                <c:pt idx="5">
                  <c:v>0.38850277821841261</c:v>
                </c:pt>
                <c:pt idx="6">
                  <c:v>0.40499353284940642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EC-0C44-B3ED-07940FB94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38751991516695"/>
          <c:y val="0.17533106156733624"/>
          <c:w val="0.18512466496287794"/>
          <c:h val="0.26589242862046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HelloFresh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'Boat Method (Retest)'!$D$141</c:f>
              <c:strCache>
                <c:ptCount val="1"/>
                <c:pt idx="0">
                  <c:v>DI Water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ot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 (Retest)'!$D$142:$D$148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0.12723213842582981</c:v>
                  </c:pt>
                  <c:pt idx="2">
                    <c:v>0.13136292466267202</c:v>
                  </c:pt>
                  <c:pt idx="3">
                    <c:v>0.134284860746891</c:v>
                  </c:pt>
                  <c:pt idx="4">
                    <c:v>0.12517170131277844</c:v>
                  </c:pt>
                  <c:pt idx="5">
                    <c:v>0.109941473521196</c:v>
                  </c:pt>
                  <c:pt idx="6">
                    <c:v>0.10419045694508391</c:v>
                  </c:pt>
                </c:numCache>
              </c:numRef>
            </c:plus>
            <c:minus>
              <c:numRef>
                <c:f>'Boat Method (Retest)'!$D$142:$D$148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0.12723213842582981</c:v>
                  </c:pt>
                  <c:pt idx="2">
                    <c:v>0.13136292466267202</c:v>
                  </c:pt>
                  <c:pt idx="3">
                    <c:v>0.134284860746891</c:v>
                  </c:pt>
                  <c:pt idx="4">
                    <c:v>0.12517170131277844</c:v>
                  </c:pt>
                  <c:pt idx="5">
                    <c:v>0.109941473521196</c:v>
                  </c:pt>
                  <c:pt idx="6">
                    <c:v>0.10419045694508391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 (Retest)'!$B$130:$B$136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(Retest)'!$D$130:$D$136</c:f>
              <c:numCache>
                <c:formatCode>0.0000</c:formatCode>
                <c:ptCount val="7"/>
                <c:pt idx="0">
                  <c:v>0</c:v>
                </c:pt>
                <c:pt idx="1">
                  <c:v>0.4364713004960451</c:v>
                </c:pt>
                <c:pt idx="2">
                  <c:v>0.51531160069446025</c:v>
                </c:pt>
                <c:pt idx="3">
                  <c:v>0.53478420496033385</c:v>
                </c:pt>
                <c:pt idx="4">
                  <c:v>0.57372941349208095</c:v>
                </c:pt>
                <c:pt idx="5">
                  <c:v>0.59462684246033559</c:v>
                </c:pt>
                <c:pt idx="6">
                  <c:v>0.62169851180557445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E5-7549-A12E-BF0B223D11CA}"/>
            </c:ext>
          </c:extLst>
        </c:ser>
        <c:ser>
          <c:idx val="6"/>
          <c:order val="1"/>
          <c:tx>
            <c:strRef>
              <c:f>'Boat Method (Retest)'!$C$129</c:f>
              <c:strCache>
                <c:ptCount val="1"/>
                <c:pt idx="0">
                  <c:v>Stock @ Room Temp</c:v>
                </c:pt>
              </c:strCache>
            </c:strRef>
          </c:tx>
          <c:spPr>
            <a:ln w="19050" cap="rnd">
              <a:solidFill>
                <a:srgbClr val="FFC54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542"/>
              </a:solidFill>
              <a:ln w="9525">
                <a:noFill/>
              </a:ln>
              <a:effectLst/>
            </c:spPr>
          </c:marker>
          <c:xVal>
            <c:numRef>
              <c:f>'Boat Method (Retest)'!$B$130:$B$136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(Retest)'!$C$130:$C$136</c:f>
              <c:numCache>
                <c:formatCode>0.0000</c:formatCode>
                <c:ptCount val="7"/>
                <c:pt idx="0">
                  <c:v>0</c:v>
                </c:pt>
                <c:pt idx="1">
                  <c:v>0.2944084723827422</c:v>
                </c:pt>
                <c:pt idx="2">
                  <c:v>0.32496487066958368</c:v>
                </c:pt>
                <c:pt idx="3">
                  <c:v>0.35649131334648354</c:v>
                </c:pt>
                <c:pt idx="4">
                  <c:v>0.36667677944209737</c:v>
                </c:pt>
                <c:pt idx="5">
                  <c:v>0.38850277821841261</c:v>
                </c:pt>
                <c:pt idx="6">
                  <c:v>0.40499353284940642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8E5-7549-A12E-BF0B223D11CA}"/>
            </c:ext>
          </c:extLst>
        </c:ser>
        <c:ser>
          <c:idx val="1"/>
          <c:order val="2"/>
          <c:tx>
            <c:strRef>
              <c:f>'Boat Method (Retest)'!$O$141</c:f>
              <c:strCache>
                <c:ptCount val="1"/>
                <c:pt idx="0">
                  <c:v>1% WBBC @ 100°C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 (Retest)'!$O$142:$O$148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1.2845354630746006E-2</c:v>
                  </c:pt>
                  <c:pt idx="2">
                    <c:v>1.4293710689389647E-2</c:v>
                  </c:pt>
                  <c:pt idx="3">
                    <c:v>2.1417889596185888E-2</c:v>
                  </c:pt>
                  <c:pt idx="4">
                    <c:v>2.6801588923239916E-2</c:v>
                  </c:pt>
                  <c:pt idx="5">
                    <c:v>3.0139361912708013E-2</c:v>
                  </c:pt>
                  <c:pt idx="6">
                    <c:v>2.9880279496428856E-2</c:v>
                  </c:pt>
                </c:numCache>
              </c:numRef>
            </c:plus>
            <c:minus>
              <c:numRef>
                <c:f>'Boat Method (Retest)'!$O$142:$O$148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1.2845354630746006E-2</c:v>
                  </c:pt>
                  <c:pt idx="2">
                    <c:v>1.4293710689389647E-2</c:v>
                  </c:pt>
                  <c:pt idx="3">
                    <c:v>2.1417889596185888E-2</c:v>
                  </c:pt>
                  <c:pt idx="4">
                    <c:v>2.6801588923239916E-2</c:v>
                  </c:pt>
                  <c:pt idx="5">
                    <c:v>3.0139361912708013E-2</c:v>
                  </c:pt>
                  <c:pt idx="6">
                    <c:v>2.9880279496428856E-2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 (Retest)'!$B$142:$B$148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(Retest)'!$O$130:$O$136</c:f>
              <c:numCache>
                <c:formatCode>0.0000</c:formatCode>
                <c:ptCount val="7"/>
                <c:pt idx="0">
                  <c:v>0</c:v>
                </c:pt>
                <c:pt idx="1">
                  <c:v>0.22274759513889572</c:v>
                </c:pt>
                <c:pt idx="2">
                  <c:v>0.28591482361111992</c:v>
                </c:pt>
                <c:pt idx="3">
                  <c:v>0.28543988204365961</c:v>
                </c:pt>
                <c:pt idx="4">
                  <c:v>0.29541365496032651</c:v>
                </c:pt>
                <c:pt idx="5">
                  <c:v>0.30301272003969187</c:v>
                </c:pt>
                <c:pt idx="6">
                  <c:v>0.30918696041667609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8E5-7549-A12E-BF0B223D11CA}"/>
            </c:ext>
          </c:extLst>
        </c:ser>
        <c:ser>
          <c:idx val="3"/>
          <c:order val="3"/>
          <c:tx>
            <c:strRef>
              <c:f>'Boat Method (Retest)'!$P$141</c:f>
              <c:strCache>
                <c:ptCount val="1"/>
                <c:pt idx="0">
                  <c:v>5% WBBC @ 100°C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 (Retest)'!$P$142:$P$148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7.6065963088521463E-3</c:v>
                  </c:pt>
                  <c:pt idx="2">
                    <c:v>1.5083960702534734E-2</c:v>
                  </c:pt>
                  <c:pt idx="3">
                    <c:v>1.2479755049677079E-2</c:v>
                  </c:pt>
                  <c:pt idx="4">
                    <c:v>7.8873763989627619E-3</c:v>
                  </c:pt>
                  <c:pt idx="5">
                    <c:v>8.7750819505777733E-3</c:v>
                  </c:pt>
                  <c:pt idx="6">
                    <c:v>9.0195599833044204E-3</c:v>
                  </c:pt>
                </c:numCache>
              </c:numRef>
            </c:plus>
            <c:minus>
              <c:numRef>
                <c:f>'Boat Method (Retest)'!$P$142:$P$148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7.6065963088521463E-3</c:v>
                  </c:pt>
                  <c:pt idx="2">
                    <c:v>1.5083960702534734E-2</c:v>
                  </c:pt>
                  <c:pt idx="3">
                    <c:v>1.2479755049677079E-2</c:v>
                  </c:pt>
                  <c:pt idx="4">
                    <c:v>7.8873763989627619E-3</c:v>
                  </c:pt>
                  <c:pt idx="5">
                    <c:v>8.7750819505777733E-3</c:v>
                  </c:pt>
                  <c:pt idx="6">
                    <c:v>9.0195599833044204E-3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 (Retest)'!$B$142:$B$148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(Retest)'!$P$130:$P$136</c:f>
              <c:numCache>
                <c:formatCode>0.0000</c:formatCode>
                <c:ptCount val="7"/>
                <c:pt idx="0">
                  <c:v>0</c:v>
                </c:pt>
                <c:pt idx="1">
                  <c:v>0.21305799464995823</c:v>
                </c:pt>
                <c:pt idx="2">
                  <c:v>0.25404901822914489</c:v>
                </c:pt>
                <c:pt idx="3">
                  <c:v>0.27263797078249691</c:v>
                </c:pt>
                <c:pt idx="4">
                  <c:v>0.28693716505430628</c:v>
                </c:pt>
                <c:pt idx="5">
                  <c:v>0.28646052524524601</c:v>
                </c:pt>
                <c:pt idx="6">
                  <c:v>0.29122692333584904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8E5-7549-A12E-BF0B223D11CA}"/>
            </c:ext>
          </c:extLst>
        </c:ser>
        <c:ser>
          <c:idx val="4"/>
          <c:order val="4"/>
          <c:tx>
            <c:strRef>
              <c:f>'Boat Method (Retest)'!$Q$129</c:f>
              <c:strCache>
                <c:ptCount val="1"/>
                <c:pt idx="0">
                  <c:v>15% WBBC @ 100°C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 (Retest)'!$R$142:$R$148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5.7661530307589123E-3</c:v>
                  </c:pt>
                  <c:pt idx="2">
                    <c:v>1.1104505748550418E-2</c:v>
                  </c:pt>
                  <c:pt idx="3">
                    <c:v>9.2139409800817244E-3</c:v>
                  </c:pt>
                  <c:pt idx="4">
                    <c:v>6.0127972963679201E-3</c:v>
                  </c:pt>
                  <c:pt idx="5">
                    <c:v>7.3421928480699675E-3</c:v>
                  </c:pt>
                  <c:pt idx="6">
                    <c:v>4.2135572253192803E-3</c:v>
                  </c:pt>
                </c:numCache>
              </c:numRef>
            </c:plus>
            <c:minus>
              <c:numRef>
                <c:f>'Boat Method (Retest)'!$R$142:$R$148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5.7661530307589123E-3</c:v>
                  </c:pt>
                  <c:pt idx="2">
                    <c:v>1.1104505748550418E-2</c:v>
                  </c:pt>
                  <c:pt idx="3">
                    <c:v>9.2139409800817244E-3</c:v>
                  </c:pt>
                  <c:pt idx="4">
                    <c:v>6.0127972963679201E-3</c:v>
                  </c:pt>
                  <c:pt idx="5">
                    <c:v>7.3421928480699675E-3</c:v>
                  </c:pt>
                  <c:pt idx="6">
                    <c:v>4.2135572253192803E-3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 (Retest)'!$B$130:$B$136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(Retest)'!$Q$130:$Q$136</c:f>
              <c:numCache>
                <c:formatCode>0.0000</c:formatCode>
                <c:ptCount val="7"/>
                <c:pt idx="0">
                  <c:v>0</c:v>
                </c:pt>
                <c:pt idx="1">
                  <c:v>0.18855657823047495</c:v>
                </c:pt>
                <c:pt idx="2">
                  <c:v>0.2238550845816776</c:v>
                </c:pt>
                <c:pt idx="3">
                  <c:v>0.22698280033431581</c:v>
                </c:pt>
                <c:pt idx="4">
                  <c:v>0.23100414915913636</c:v>
                </c:pt>
                <c:pt idx="5">
                  <c:v>0.23189778223131868</c:v>
                </c:pt>
                <c:pt idx="6">
                  <c:v>0.23457868144786573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8E5-7549-A12E-BF0B223D11CA}"/>
            </c:ext>
          </c:extLst>
        </c:ser>
        <c:ser>
          <c:idx val="5"/>
          <c:order val="5"/>
          <c:tx>
            <c:strRef>
              <c:f>'Boat Method (Retest)'!$R$129</c:f>
              <c:strCache>
                <c:ptCount val="1"/>
                <c:pt idx="0">
                  <c:v>25% WBBC @ 100°C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'Boat Method (Retest)'!$Q$142:$Q$148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5.0986820404856012E-3</c:v>
                  </c:pt>
                  <c:pt idx="2">
                    <c:v>1.151776493383903E-2</c:v>
                  </c:pt>
                  <c:pt idx="3">
                    <c:v>1.6393856749615025E-2</c:v>
                  </c:pt>
                  <c:pt idx="4">
                    <c:v>6.7165225474816962E-3</c:v>
                  </c:pt>
                  <c:pt idx="5">
                    <c:v>1.2396997108579062E-2</c:v>
                  </c:pt>
                  <c:pt idx="6">
                    <c:v>9.3770750381959502E-3</c:v>
                  </c:pt>
                </c:numCache>
              </c:numRef>
            </c:plus>
            <c:minus>
              <c:numRef>
                <c:f>'Boat Method (Retest)'!$Q$142:$Q$148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5.0986820404856012E-3</c:v>
                  </c:pt>
                  <c:pt idx="2">
                    <c:v>1.151776493383903E-2</c:v>
                  </c:pt>
                  <c:pt idx="3">
                    <c:v>1.6393856749615025E-2</c:v>
                  </c:pt>
                  <c:pt idx="4">
                    <c:v>6.7165225474816962E-3</c:v>
                  </c:pt>
                  <c:pt idx="5">
                    <c:v>1.2396997108579062E-2</c:v>
                  </c:pt>
                  <c:pt idx="6">
                    <c:v>9.3770750381959502E-3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'Boat Method (Retest)'!$B$130:$B$136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'Boat Method (Retest)'!$R$130:$R$136</c:f>
              <c:numCache>
                <c:formatCode>0.0000</c:formatCode>
                <c:ptCount val="7"/>
                <c:pt idx="0">
                  <c:v>0</c:v>
                </c:pt>
                <c:pt idx="1">
                  <c:v>0.13836403442827419</c:v>
                </c:pt>
                <c:pt idx="2">
                  <c:v>0.21103594568585438</c:v>
                </c:pt>
                <c:pt idx="3">
                  <c:v>0.23731279495413199</c:v>
                </c:pt>
                <c:pt idx="4">
                  <c:v>0.24470315881083501</c:v>
                </c:pt>
                <c:pt idx="5">
                  <c:v>0.25086179535808761</c:v>
                </c:pt>
                <c:pt idx="6">
                  <c:v>0.25250409843735494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8E5-7549-A12E-BF0B223D1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38751991516695"/>
          <c:y val="0.17533106156733624"/>
          <c:w val="0.17845729206407143"/>
          <c:h val="0.226616196483098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1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Metsä OBAFree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1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955808618112259E-2"/>
          <c:y val="8.7023576716664663E-2"/>
          <c:w val="0.68464836815767505"/>
          <c:h val="0.80216193635224486"/>
        </c:manualLayout>
      </c:layout>
      <c:scatterChart>
        <c:scatterStyle val="lineMarker"/>
        <c:varyColors val="0"/>
        <c:ser>
          <c:idx val="1"/>
          <c:order val="0"/>
          <c:tx>
            <c:strRef>
              <c:f>'Metsä EB'!$C$126</c:f>
              <c:strCache>
                <c:ptCount val="1"/>
                <c:pt idx="0">
                  <c:v>DI Water Gloss @ 100°C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12700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'Metsä EB'!$C$127:$C$133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9.185249099431185E-3</c:v>
                  </c:pt>
                  <c:pt idx="2">
                    <c:v>8.2225143552511828E-3</c:v>
                  </c:pt>
                  <c:pt idx="3">
                    <c:v>2.3268526710254187E-3</c:v>
                  </c:pt>
                  <c:pt idx="4">
                    <c:v>1.008172056079322E-2</c:v>
                  </c:pt>
                  <c:pt idx="5">
                    <c:v>6.3127438534814053E-3</c:v>
                  </c:pt>
                  <c:pt idx="6">
                    <c:v>2.5941333293855305E-2</c:v>
                  </c:pt>
                </c:numCache>
              </c:numRef>
            </c:plus>
            <c:minus>
              <c:numRef>
                <c:f>'Metsä EB'!$C$127:$C$133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9.185249099431185E-3</c:v>
                  </c:pt>
                  <c:pt idx="2">
                    <c:v>8.2225143552511828E-3</c:v>
                  </c:pt>
                  <c:pt idx="3">
                    <c:v>2.3268526710254187E-3</c:v>
                  </c:pt>
                  <c:pt idx="4">
                    <c:v>1.008172056079322E-2</c:v>
                  </c:pt>
                  <c:pt idx="5">
                    <c:v>6.3127438534814053E-3</c:v>
                  </c:pt>
                  <c:pt idx="6">
                    <c:v>2.5941333293855305E-2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'Metsä EB'!$B$127:$B$133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EB'!$C$116:$C$122</c:f>
              <c:numCache>
                <c:formatCode>0.0000</c:formatCode>
                <c:ptCount val="7"/>
                <c:pt idx="0">
                  <c:v>0</c:v>
                </c:pt>
                <c:pt idx="1">
                  <c:v>0.16282448416553849</c:v>
                </c:pt>
                <c:pt idx="2">
                  <c:v>0.30816445996430797</c:v>
                </c:pt>
                <c:pt idx="3">
                  <c:v>0.39777256534400013</c:v>
                </c:pt>
                <c:pt idx="4">
                  <c:v>0.5026796155446156</c:v>
                </c:pt>
                <c:pt idx="5">
                  <c:v>0.63053508297661587</c:v>
                </c:pt>
                <c:pt idx="6">
                  <c:v>0.83980279249138523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4E-0645-A1CF-9819CE6800D9}"/>
            </c:ext>
          </c:extLst>
        </c:ser>
        <c:ser>
          <c:idx val="0"/>
          <c:order val="1"/>
          <c:tx>
            <c:strRef>
              <c:f>'Metsä EB'!$D$115</c:f>
              <c:strCache>
                <c:ptCount val="1"/>
                <c:pt idx="0">
                  <c:v>DI Water Matte @ 100°C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'Metsä EB'!$E$127:$E$133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6.2299036828132098E-3</c:v>
                  </c:pt>
                  <c:pt idx="2">
                    <c:v>1.2123910533121628E-2</c:v>
                  </c:pt>
                  <c:pt idx="3">
                    <c:v>1.1901957904541398E-2</c:v>
                  </c:pt>
                  <c:pt idx="4">
                    <c:v>1.2900727783007377E-2</c:v>
                  </c:pt>
                  <c:pt idx="5">
                    <c:v>2.1497792003086543E-2</c:v>
                  </c:pt>
                  <c:pt idx="6">
                    <c:v>2.2082690864322262E-2</c:v>
                  </c:pt>
                </c:numCache>
              </c:numRef>
            </c:plus>
            <c:minus>
              <c:numRef>
                <c:f>'Metsä EB'!$E$127:$E$133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6.2299036828132098E-3</c:v>
                  </c:pt>
                  <c:pt idx="2">
                    <c:v>1.2123910533121628E-2</c:v>
                  </c:pt>
                  <c:pt idx="3">
                    <c:v>1.1901957904541398E-2</c:v>
                  </c:pt>
                  <c:pt idx="4">
                    <c:v>1.2900727783007377E-2</c:v>
                  </c:pt>
                  <c:pt idx="5">
                    <c:v>2.1497792003086543E-2</c:v>
                  </c:pt>
                  <c:pt idx="6">
                    <c:v>2.2082690864322262E-2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'Metsä EB'!$B$116:$B$122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EB'!$D$116:$D$122</c:f>
              <c:numCache>
                <c:formatCode>0.0000</c:formatCode>
                <c:ptCount val="7"/>
                <c:pt idx="0">
                  <c:v>0</c:v>
                </c:pt>
                <c:pt idx="1">
                  <c:v>4.2977871244916505E-2</c:v>
                </c:pt>
                <c:pt idx="2">
                  <c:v>7.769076725042616E-2</c:v>
                </c:pt>
                <c:pt idx="3">
                  <c:v>9.3669719379946489E-2</c:v>
                </c:pt>
                <c:pt idx="4">
                  <c:v>0.1052406847151164</c:v>
                </c:pt>
                <c:pt idx="5">
                  <c:v>0.11570965335169868</c:v>
                </c:pt>
                <c:pt idx="6">
                  <c:v>0.12452562694039955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A4E-0645-A1CF-9819CE6800D9}"/>
            </c:ext>
          </c:extLst>
        </c:ser>
        <c:ser>
          <c:idx val="2"/>
          <c:order val="2"/>
          <c:tx>
            <c:strRef>
              <c:f>'Metsä EB'!$E$115</c:f>
              <c:strCache>
                <c:ptCount val="1"/>
                <c:pt idx="0">
                  <c:v>0.1% GO Gloss @ 100°C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'Metsä EB'!$D$127:$D$133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4.6472897928457844E-3</c:v>
                  </c:pt>
                  <c:pt idx="2">
                    <c:v>2.7404082690218479E-2</c:v>
                  </c:pt>
                  <c:pt idx="3">
                    <c:v>2.2190963838126753E-2</c:v>
                  </c:pt>
                  <c:pt idx="4">
                    <c:v>1.5649446432581385E-2</c:v>
                  </c:pt>
                  <c:pt idx="5">
                    <c:v>1.2644884817445572E-2</c:v>
                  </c:pt>
                  <c:pt idx="6">
                    <c:v>8.1686481118924976E-3</c:v>
                  </c:pt>
                </c:numCache>
              </c:numRef>
            </c:plus>
            <c:minus>
              <c:numRef>
                <c:f>'Metsä EB'!$D$127:$D$133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4.6472897928457844E-3</c:v>
                  </c:pt>
                  <c:pt idx="2">
                    <c:v>2.7404082690218479E-2</c:v>
                  </c:pt>
                  <c:pt idx="3">
                    <c:v>2.2190963838126753E-2</c:v>
                  </c:pt>
                  <c:pt idx="4">
                    <c:v>1.5649446432581385E-2</c:v>
                  </c:pt>
                  <c:pt idx="5">
                    <c:v>1.2644884817445572E-2</c:v>
                  </c:pt>
                  <c:pt idx="6">
                    <c:v>8.1686481118924976E-3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'Metsä EB'!$B$116:$B$122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EB'!$E$116:$E$122</c:f>
              <c:numCache>
                <c:formatCode>0.0000</c:formatCode>
                <c:ptCount val="7"/>
                <c:pt idx="0">
                  <c:v>0</c:v>
                </c:pt>
                <c:pt idx="1">
                  <c:v>0.26558120435961347</c:v>
                </c:pt>
                <c:pt idx="2">
                  <c:v>0.35208794519874059</c:v>
                </c:pt>
                <c:pt idx="3">
                  <c:v>0.41820774711399694</c:v>
                </c:pt>
                <c:pt idx="4">
                  <c:v>0.49424551931654204</c:v>
                </c:pt>
                <c:pt idx="5">
                  <c:v>0.59673121228518944</c:v>
                </c:pt>
                <c:pt idx="6">
                  <c:v>0.73558279630722823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A4E-0645-A1CF-9819CE6800D9}"/>
            </c:ext>
          </c:extLst>
        </c:ser>
        <c:ser>
          <c:idx val="3"/>
          <c:order val="3"/>
          <c:tx>
            <c:strRef>
              <c:f>'Metsä EB'!$F$115</c:f>
              <c:strCache>
                <c:ptCount val="1"/>
                <c:pt idx="0">
                  <c:v>0.1% GO Matte @ 100°C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'Metsä EB'!$F$127:$F$133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1.7937124959022777E-2</c:v>
                  </c:pt>
                  <c:pt idx="2">
                    <c:v>2.5561541887570264E-2</c:v>
                  </c:pt>
                  <c:pt idx="3">
                    <c:v>2.4270181659418195E-2</c:v>
                  </c:pt>
                  <c:pt idx="4">
                    <c:v>2.7693323613382406E-2</c:v>
                  </c:pt>
                  <c:pt idx="5">
                    <c:v>2.6338011413780286E-2</c:v>
                  </c:pt>
                  <c:pt idx="6">
                    <c:v>2.5076165660838066E-2</c:v>
                  </c:pt>
                </c:numCache>
              </c:numRef>
            </c:plus>
            <c:minus>
              <c:numRef>
                <c:f>'Metsä EB'!$F$127:$F$133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1.7937124959022777E-2</c:v>
                  </c:pt>
                  <c:pt idx="2">
                    <c:v>2.5561541887570264E-2</c:v>
                  </c:pt>
                  <c:pt idx="3">
                    <c:v>2.4270181659418195E-2</c:v>
                  </c:pt>
                  <c:pt idx="4">
                    <c:v>2.7693323613382406E-2</c:v>
                  </c:pt>
                  <c:pt idx="5">
                    <c:v>2.6338011413780286E-2</c:v>
                  </c:pt>
                  <c:pt idx="6">
                    <c:v>2.5076165660838066E-2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'Metsä EB'!$B$116:$B$122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'Metsä EB'!$F$116:$F$122</c:f>
              <c:numCache>
                <c:formatCode>0.0000</c:formatCode>
                <c:ptCount val="7"/>
                <c:pt idx="0">
                  <c:v>0</c:v>
                </c:pt>
                <c:pt idx="1">
                  <c:v>7.216288621626378E-2</c:v>
                </c:pt>
                <c:pt idx="2">
                  <c:v>0.10411286637308301</c:v>
                </c:pt>
                <c:pt idx="3">
                  <c:v>0.11292665400255038</c:v>
                </c:pt>
                <c:pt idx="4">
                  <c:v>0.12174044163201773</c:v>
                </c:pt>
                <c:pt idx="5">
                  <c:v>0.12669819717359315</c:v>
                </c:pt>
                <c:pt idx="6">
                  <c:v>0.12945250580780168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A4E-0645-A1CF-9819CE680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11248"/>
        <c:axId val="9409920"/>
      </c:scatterChart>
      <c:valAx>
        <c:axId val="35411248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09920"/>
        <c:crosses val="autoZero"/>
        <c:crossBetween val="midCat"/>
      </c:valAx>
      <c:valAx>
        <c:axId val="9409920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1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i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absorbed water weight / unit dry paper weight (gm/gm)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1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54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36102507590443"/>
          <c:y val="0.25867559234357357"/>
          <c:w val="0.20134057140538714"/>
          <c:h val="0.152804401748372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119063</xdr:colOff>
      <xdr:row>138</xdr:row>
      <xdr:rowOff>119062</xdr:rowOff>
    </xdr:from>
    <xdr:to>
      <xdr:col>10</xdr:col>
      <xdr:colOff>353589</xdr:colOff>
      <xdr:row>167</xdr:row>
      <xdr:rowOff>47986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2858B0-7D85-B34B-BB74-9604F2B58A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31359</xdr:colOff>
      <xdr:row>169</xdr:row>
      <xdr:rowOff>94075</xdr:rowOff>
    </xdr:from>
    <xdr:to>
      <xdr:col>10</xdr:col>
      <xdr:colOff>265885</xdr:colOff>
      <xdr:row>198</xdr:row>
      <xdr:rowOff>22999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1B81B2-A539-6544-95EB-E28C56D42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521606</xdr:colOff>
      <xdr:row>141</xdr:row>
      <xdr:rowOff>-1</xdr:rowOff>
    </xdr:from>
    <xdr:to>
      <xdr:col>23</xdr:col>
      <xdr:colOff>415954</xdr:colOff>
      <xdr:row>169</xdr:row>
      <xdr:rowOff>133030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FD702F-5F37-CE46-B7C2-5FD596CCD6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508000</xdr:colOff>
      <xdr:row>173</xdr:row>
      <xdr:rowOff>16933</xdr:rowOff>
    </xdr:from>
    <xdr:to>
      <xdr:col>23</xdr:col>
      <xdr:colOff>402348</xdr:colOff>
      <xdr:row>201</xdr:row>
      <xdr:rowOff>149964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D3E5CC-E0DC-9F4B-946D-7A4F6D8655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0</xdr:colOff>
      <xdr:row>144</xdr:row>
      <xdr:rowOff>0</xdr:rowOff>
    </xdr:from>
    <xdr:to>
      <xdr:col>38</xdr:col>
      <xdr:colOff>224548</xdr:colOff>
      <xdr:row>172</xdr:row>
      <xdr:rowOff>133031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2F5C70-5B37-034C-AC8E-3591DB255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601436</xdr:colOff>
      <xdr:row>143</xdr:row>
      <xdr:rowOff>203199</xdr:rowOff>
    </xdr:from>
    <xdr:to>
      <xdr:col>50</xdr:col>
      <xdr:colOff>19533</xdr:colOff>
      <xdr:row>172</xdr:row>
      <xdr:rowOff>133030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7B75777-A038-A74F-B4B6-019C0A27F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0</xdr:colOff>
      <xdr:row>210</xdr:row>
      <xdr:rowOff>0</xdr:rowOff>
    </xdr:from>
    <xdr:to>
      <xdr:col>11</xdr:col>
      <xdr:colOff>539117</xdr:colOff>
      <xdr:row>238</xdr:row>
      <xdr:rowOff>133031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F844728-22F8-2949-8986-F6123DA230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365606</xdr:colOff>
      <xdr:row>210</xdr:row>
      <xdr:rowOff>115454</xdr:rowOff>
    </xdr:from>
    <xdr:to>
      <xdr:col>23</xdr:col>
      <xdr:colOff>284006</xdr:colOff>
      <xdr:row>239</xdr:row>
      <xdr:rowOff>36818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8167B52-1B4F-E640-893A-EE189B6B1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31</xdr:col>
      <xdr:colOff>155223</xdr:colOff>
      <xdr:row>215</xdr:row>
      <xdr:rowOff>28222</xdr:rowOff>
    </xdr:from>
    <xdr:to>
      <xdr:col>42</xdr:col>
      <xdr:colOff>33444</xdr:colOff>
      <xdr:row>243</xdr:row>
      <xdr:rowOff>161253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D13525D-41FE-FB40-A2B2-ECFB8A9312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154</xdr:row>
      <xdr:rowOff>0</xdr:rowOff>
    </xdr:from>
    <xdr:to>
      <xdr:col>10</xdr:col>
      <xdr:colOff>226762</xdr:colOff>
      <xdr:row>182</xdr:row>
      <xdr:rowOff>14626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DA8037-11EB-0C43-B526-F77DC7CB45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672353</xdr:colOff>
      <xdr:row>154</xdr:row>
      <xdr:rowOff>74706</xdr:rowOff>
    </xdr:from>
    <xdr:to>
      <xdr:col>23</xdr:col>
      <xdr:colOff>413527</xdr:colOff>
      <xdr:row>182</xdr:row>
      <xdr:rowOff>89332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194E3A-B4EC-C848-A6D0-177C9C1791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1016000</xdr:colOff>
      <xdr:row>188</xdr:row>
      <xdr:rowOff>58616</xdr:rowOff>
    </xdr:from>
    <xdr:to>
      <xdr:col>15</xdr:col>
      <xdr:colOff>597992</xdr:colOff>
      <xdr:row>216</xdr:row>
      <xdr:rowOff>73242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F08389-B22B-C044-8CC7-A945D7995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728134</xdr:colOff>
      <xdr:row>188</xdr:row>
      <xdr:rowOff>84667</xdr:rowOff>
    </xdr:from>
    <xdr:to>
      <xdr:col>28</xdr:col>
      <xdr:colOff>413029</xdr:colOff>
      <xdr:row>216</xdr:row>
      <xdr:rowOff>99293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59F74E-C136-804C-A12C-3F054237E8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38485</xdr:colOff>
      <xdr:row>177</xdr:row>
      <xdr:rowOff>57727</xdr:rowOff>
    </xdr:from>
    <xdr:to>
      <xdr:col>12</xdr:col>
      <xdr:colOff>609391</xdr:colOff>
      <xdr:row>205</xdr:row>
      <xdr:rowOff>72353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71B965-6D8E-174B-A3AC-BFB57EDB7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778934</xdr:colOff>
      <xdr:row>176</xdr:row>
      <xdr:rowOff>169333</xdr:rowOff>
    </xdr:from>
    <xdr:to>
      <xdr:col>25</xdr:col>
      <xdr:colOff>537040</xdr:colOff>
      <xdr:row>204</xdr:row>
      <xdr:rowOff>183959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F8D6DC-F970-B041-8251-80EF4187C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135</xdr:row>
      <xdr:rowOff>0</xdr:rowOff>
    </xdr:from>
    <xdr:to>
      <xdr:col>20</xdr:col>
      <xdr:colOff>300834</xdr:colOff>
      <xdr:row>163</xdr:row>
      <xdr:rowOff>46051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E98AF1-35A8-864A-AEBB-EE5FB6836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D312-6548-5C4A-9912-02518DE60EC1}">
  <dimension ref="A1:R132"/>
  <sheetViews>
    <sheetView topLeftCell="A79" zoomScale="75" zoomScaleNormal="81" workbookViewId="0">
      <selection activeCell="E121" sqref="E121"/>
    </sheetView>
  </sheetViews>
  <sheetFormatPr baseColWidth="10" defaultRowHeight="16" x14ac:dyDescent="0.2"/>
  <cols>
    <col min="3" max="3" width="14" customWidth="1"/>
    <col min="4" max="4" width="15.33203125" customWidth="1"/>
    <col min="5" max="5" width="16.33203125" customWidth="1"/>
    <col min="6" max="6" width="13.6640625" customWidth="1"/>
    <col min="7" max="7" width="16.5" customWidth="1"/>
    <col min="9" max="9" width="12.5" customWidth="1"/>
    <col min="10" max="10" width="14.1640625" customWidth="1"/>
    <col min="11" max="11" width="15.1640625" customWidth="1"/>
    <col min="13" max="13" width="15.1640625" customWidth="1"/>
  </cols>
  <sheetData>
    <row r="1" spans="1:18" x14ac:dyDescent="0.2">
      <c r="A1" s="1" t="s">
        <v>7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8" x14ac:dyDescent="0.2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3" spans="1:18" ht="51" x14ac:dyDescent="0.2">
      <c r="A3" s="2" t="s">
        <v>1</v>
      </c>
      <c r="B3" s="3" t="s">
        <v>2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23</v>
      </c>
      <c r="I3" s="3" t="s">
        <v>24</v>
      </c>
      <c r="J3" s="3" t="s">
        <v>25</v>
      </c>
      <c r="K3" s="3" t="s">
        <v>26</v>
      </c>
      <c r="L3" s="3" t="s">
        <v>28</v>
      </c>
      <c r="M3" s="3" t="s">
        <v>27</v>
      </c>
      <c r="N3" s="3" t="s">
        <v>29</v>
      </c>
      <c r="O3" s="3" t="s">
        <v>30</v>
      </c>
      <c r="P3" s="3"/>
    </row>
    <row r="4" spans="1:18" x14ac:dyDescent="0.2">
      <c r="A4" s="4">
        <v>1</v>
      </c>
      <c r="B4" s="5">
        <v>0</v>
      </c>
      <c r="C4" s="5">
        <v>0.34599999999999997</v>
      </c>
      <c r="D4" s="5">
        <v>0.34499999999999997</v>
      </c>
      <c r="E4" s="5">
        <v>0.35399999999999998</v>
      </c>
      <c r="F4" s="5">
        <v>0.38900000000000001</v>
      </c>
      <c r="G4" s="5">
        <v>0.40500000000000003</v>
      </c>
      <c r="H4" s="5">
        <v>0.35899999999999999</v>
      </c>
      <c r="I4" s="5">
        <v>0.35299999999999998</v>
      </c>
      <c r="J4" s="5">
        <v>0.35699999999999998</v>
      </c>
      <c r="K4" s="5">
        <v>0.36299999999999999</v>
      </c>
      <c r="L4" s="5">
        <v>0.33500000000000002</v>
      </c>
      <c r="M4" s="5">
        <v>0.34399999999999997</v>
      </c>
      <c r="N4" s="5">
        <v>0.33500000000000002</v>
      </c>
      <c r="O4" s="5">
        <v>0.33</v>
      </c>
      <c r="P4" s="5"/>
      <c r="Q4">
        <f>AVERAGE(D4:D8)</f>
        <v>0.34839999999999999</v>
      </c>
      <c r="R4" t="s">
        <v>34</v>
      </c>
    </row>
    <row r="5" spans="1:18" x14ac:dyDescent="0.2">
      <c r="A5" s="4">
        <v>2</v>
      </c>
      <c r="B5" s="5">
        <v>0</v>
      </c>
      <c r="C5" s="6">
        <v>0.34</v>
      </c>
      <c r="D5" s="6">
        <v>0.34599999999999997</v>
      </c>
      <c r="E5" s="5">
        <v>0.35299999999999998</v>
      </c>
      <c r="F5" s="6">
        <v>0.39100000000000001</v>
      </c>
      <c r="G5" s="5">
        <v>0.39600000000000002</v>
      </c>
      <c r="H5" s="5">
        <v>0.35699999999999998</v>
      </c>
      <c r="I5" s="5">
        <v>0.372</v>
      </c>
      <c r="J5" s="5">
        <v>0.35599999999999998</v>
      </c>
      <c r="K5" s="5">
        <v>0.36</v>
      </c>
      <c r="L5" s="5">
        <v>0.34599999999999997</v>
      </c>
      <c r="M5" s="5">
        <v>0.33900000000000002</v>
      </c>
      <c r="N5" s="5">
        <v>0.317</v>
      </c>
      <c r="O5" s="5">
        <v>0.32700000000000001</v>
      </c>
      <c r="P5" s="5"/>
      <c r="Q5">
        <f>AVERAGE(C4:C8)</f>
        <v>0.33939999999999998</v>
      </c>
      <c r="R5" t="s">
        <v>33</v>
      </c>
    </row>
    <row r="6" spans="1:18" x14ac:dyDescent="0.2">
      <c r="A6" s="4">
        <v>3</v>
      </c>
      <c r="B6" s="5">
        <v>0</v>
      </c>
      <c r="C6" s="5">
        <v>0.33700000000000002</v>
      </c>
      <c r="D6" s="6">
        <v>0.35</v>
      </c>
      <c r="E6" s="5">
        <v>0.35399999999999998</v>
      </c>
      <c r="F6" s="5">
        <v>0.39600000000000002</v>
      </c>
      <c r="G6" s="5">
        <v>0.4</v>
      </c>
      <c r="H6" s="5">
        <v>0.35799999999999998</v>
      </c>
      <c r="I6" s="5">
        <v>0.36699999999999999</v>
      </c>
      <c r="J6" s="5">
        <v>0.35299999999999998</v>
      </c>
      <c r="K6" s="5">
        <v>0.36699999999999999</v>
      </c>
      <c r="L6" s="5">
        <v>0.33300000000000002</v>
      </c>
      <c r="M6" s="5">
        <v>0.33900000000000002</v>
      </c>
      <c r="N6" s="5">
        <v>0.33600000000000002</v>
      </c>
      <c r="O6" s="5">
        <v>0.32900000000000001</v>
      </c>
      <c r="P6" s="5"/>
      <c r="Q6">
        <f>AVERAGE(F4:F8)</f>
        <v>0.38780000000000003</v>
      </c>
      <c r="R6" s="5">
        <v>25</v>
      </c>
    </row>
    <row r="7" spans="1:18" x14ac:dyDescent="0.2">
      <c r="A7" s="4">
        <v>4</v>
      </c>
      <c r="B7" s="5">
        <v>0</v>
      </c>
      <c r="C7" s="5">
        <v>0.33700000000000002</v>
      </c>
      <c r="D7" s="5">
        <v>0.35799999999999998</v>
      </c>
      <c r="E7" s="5">
        <v>0.34499999999999997</v>
      </c>
      <c r="F7" s="5">
        <v>0.37</v>
      </c>
      <c r="G7" s="6">
        <v>0.39</v>
      </c>
      <c r="H7" s="5">
        <v>0.35799999999999998</v>
      </c>
      <c r="I7" s="5">
        <v>0.36199999999999999</v>
      </c>
      <c r="J7" s="5">
        <v>0.35499999999999998</v>
      </c>
      <c r="K7" s="6">
        <v>0.36399999999999999</v>
      </c>
      <c r="L7" s="5">
        <v>0.33900000000000002</v>
      </c>
      <c r="M7" s="5">
        <v>0.33100000000000002</v>
      </c>
      <c r="N7" s="5">
        <v>0.33900000000000002</v>
      </c>
      <c r="O7" s="5">
        <v>0.32300000000000001</v>
      </c>
      <c r="P7" s="5"/>
      <c r="Q7">
        <f>AVERAGE(I4:I8)</f>
        <v>0.36480000000000007</v>
      </c>
      <c r="R7" s="5">
        <v>15</v>
      </c>
    </row>
    <row r="8" spans="1:18" x14ac:dyDescent="0.2">
      <c r="A8" s="4">
        <v>5</v>
      </c>
      <c r="B8" s="5">
        <v>0</v>
      </c>
      <c r="C8" s="5">
        <v>0.33700000000000002</v>
      </c>
      <c r="D8" s="5">
        <v>0.34300000000000003</v>
      </c>
      <c r="E8" s="5">
        <v>0.35</v>
      </c>
      <c r="F8" s="5">
        <v>0.39300000000000002</v>
      </c>
      <c r="G8" s="5">
        <v>0.39100000000000001</v>
      </c>
      <c r="H8" s="5">
        <v>0.35099999999999998</v>
      </c>
      <c r="I8" s="5">
        <v>0.37</v>
      </c>
      <c r="J8" s="5">
        <v>0.35699999999999998</v>
      </c>
      <c r="K8" s="5">
        <v>0.36399999999999999</v>
      </c>
      <c r="L8" s="5">
        <v>0.33800000000000002</v>
      </c>
      <c r="M8" s="5">
        <v>0.34100000000000003</v>
      </c>
      <c r="N8" s="5">
        <v>0.32100000000000001</v>
      </c>
      <c r="O8" s="5">
        <v>0.32900000000000001</v>
      </c>
      <c r="P8" s="5"/>
      <c r="Q8">
        <f>AVERAGE(L4:L8)</f>
        <v>0.3382</v>
      </c>
      <c r="R8" s="5">
        <v>1</v>
      </c>
    </row>
    <row r="9" spans="1:18" x14ac:dyDescent="0.2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8" x14ac:dyDescent="0.2">
      <c r="A10" s="4">
        <v>1</v>
      </c>
      <c r="B10" s="5">
        <v>10</v>
      </c>
      <c r="C10" s="5">
        <v>0.39900000000000002</v>
      </c>
      <c r="D10" s="5">
        <v>0.66100000000000003</v>
      </c>
      <c r="E10" s="5">
        <v>0.496</v>
      </c>
      <c r="F10" s="6">
        <v>0.41599999999999998</v>
      </c>
      <c r="G10" s="5">
        <v>0.43</v>
      </c>
      <c r="H10" s="5">
        <v>0.40500000000000003</v>
      </c>
      <c r="I10" s="6">
        <v>0.38600000000000001</v>
      </c>
      <c r="J10" s="5">
        <v>0.39800000000000002</v>
      </c>
      <c r="K10" s="5">
        <v>0.39200000000000002</v>
      </c>
      <c r="L10" s="5">
        <v>0.38200000000000001</v>
      </c>
      <c r="M10" s="5">
        <v>0.39200000000000002</v>
      </c>
      <c r="N10" s="5">
        <v>0.40200000000000002</v>
      </c>
      <c r="O10" s="5">
        <v>0.38700000000000001</v>
      </c>
      <c r="P10" s="5"/>
    </row>
    <row r="11" spans="1:18" x14ac:dyDescent="0.2">
      <c r="A11" s="4">
        <v>2</v>
      </c>
      <c r="B11" s="5">
        <v>10</v>
      </c>
      <c r="C11" s="5">
        <v>0.39700000000000002</v>
      </c>
      <c r="D11" s="6">
        <v>0.47799999999999998</v>
      </c>
      <c r="E11" s="5">
        <v>0.42</v>
      </c>
      <c r="F11" s="6">
        <v>0.41599999999999998</v>
      </c>
      <c r="G11" s="5">
        <v>0.41699999999999998</v>
      </c>
      <c r="H11" s="5">
        <v>0.41</v>
      </c>
      <c r="I11" s="5">
        <v>0.40300000000000002</v>
      </c>
      <c r="J11" s="5">
        <v>0.39500000000000002</v>
      </c>
      <c r="K11" s="5">
        <v>0.38700000000000001</v>
      </c>
      <c r="L11" s="5">
        <v>0.39500000000000002</v>
      </c>
      <c r="M11" s="5">
        <v>0.38800000000000001</v>
      </c>
      <c r="N11" s="5">
        <v>0.379</v>
      </c>
      <c r="O11" s="5">
        <v>0.38500000000000001</v>
      </c>
      <c r="P11" s="5"/>
      <c r="Q11">
        <f>AVERAGE(L4:L8)</f>
        <v>0.3382</v>
      </c>
      <c r="R11">
        <f>STDEV(L4:L8)</f>
        <v>4.969909455915654E-3</v>
      </c>
    </row>
    <row r="12" spans="1:18" x14ac:dyDescent="0.2">
      <c r="A12" s="4">
        <v>3</v>
      </c>
      <c r="B12" s="5">
        <v>10</v>
      </c>
      <c r="C12" s="5">
        <v>0.39200000000000002</v>
      </c>
      <c r="D12" s="5">
        <v>0.436</v>
      </c>
      <c r="E12" s="6">
        <v>0.42399999999999999</v>
      </c>
      <c r="F12" s="6">
        <v>0.42399999999999999</v>
      </c>
      <c r="G12" s="5">
        <v>0.42099999999999999</v>
      </c>
      <c r="H12" s="5">
        <v>0.39100000000000001</v>
      </c>
      <c r="I12" s="5">
        <v>0.40100000000000002</v>
      </c>
      <c r="J12" s="5">
        <v>0.39400000000000002</v>
      </c>
      <c r="K12" s="5">
        <v>0.39</v>
      </c>
      <c r="L12" s="5">
        <v>0.379</v>
      </c>
      <c r="M12" s="5">
        <v>0.39300000000000002</v>
      </c>
      <c r="N12" s="5">
        <v>0.39600000000000002</v>
      </c>
      <c r="O12" s="5">
        <v>0.39</v>
      </c>
      <c r="P12" s="5"/>
      <c r="Q12">
        <f>AVERAGE(H4:H8)</f>
        <v>0.35659999999999997</v>
      </c>
      <c r="R12">
        <f>STDEV(H4:H8)</f>
        <v>3.2093613071762454E-3</v>
      </c>
    </row>
    <row r="13" spans="1:18" x14ac:dyDescent="0.2">
      <c r="A13" s="4">
        <v>4</v>
      </c>
      <c r="B13" s="5">
        <v>10</v>
      </c>
      <c r="C13" s="5">
        <v>0.39</v>
      </c>
      <c r="D13" s="5">
        <v>0.67800000000000005</v>
      </c>
      <c r="E13" s="5">
        <v>0.41699999999999998</v>
      </c>
      <c r="F13" s="5">
        <v>0.39700000000000002</v>
      </c>
      <c r="G13" s="5">
        <v>0.41799999999999998</v>
      </c>
      <c r="H13" s="5">
        <v>0.4</v>
      </c>
      <c r="I13" s="5">
        <v>0.39400000000000002</v>
      </c>
      <c r="J13" s="5">
        <v>0.38700000000000001</v>
      </c>
      <c r="K13" s="5">
        <v>0.38900000000000001</v>
      </c>
      <c r="L13" s="5">
        <v>0.39</v>
      </c>
      <c r="M13" s="5">
        <v>0.38200000000000001</v>
      </c>
      <c r="N13" s="5">
        <v>0.39700000000000002</v>
      </c>
      <c r="O13" s="5">
        <v>0.38200000000000001</v>
      </c>
      <c r="P13" s="5"/>
      <c r="Q13">
        <f>AVERAGE(I4:I8)</f>
        <v>0.36480000000000007</v>
      </c>
      <c r="R13">
        <f>STDEV(I4:I8)</f>
        <v>7.5960516059331842E-3</v>
      </c>
    </row>
    <row r="14" spans="1:18" x14ac:dyDescent="0.2">
      <c r="A14" s="4">
        <v>5</v>
      </c>
      <c r="B14" s="5">
        <v>10</v>
      </c>
      <c r="C14" s="5">
        <v>0.39600000000000002</v>
      </c>
      <c r="D14" s="5">
        <v>0.496</v>
      </c>
      <c r="E14" s="5">
        <v>0.41899999999999998</v>
      </c>
      <c r="F14" s="6">
        <v>0.41899999999999998</v>
      </c>
      <c r="G14" s="5">
        <v>0.41799999999999998</v>
      </c>
      <c r="H14" s="5">
        <v>0.373</v>
      </c>
      <c r="I14" s="5">
        <v>0.40799999999999997</v>
      </c>
      <c r="J14" s="5">
        <v>0.38600000000000001</v>
      </c>
      <c r="K14" s="6">
        <v>0.38700000000000001</v>
      </c>
      <c r="L14" s="5">
        <v>0.38800000000000001</v>
      </c>
      <c r="M14" s="5">
        <v>0.39200000000000002</v>
      </c>
      <c r="N14" s="5">
        <v>0.38300000000000001</v>
      </c>
      <c r="O14" s="5">
        <v>0.38300000000000001</v>
      </c>
      <c r="P14" s="5"/>
      <c r="Q14">
        <f>AVERAGE(F4:F8)</f>
        <v>0.38780000000000003</v>
      </c>
      <c r="R14">
        <f>STDEV(F4:F8)</f>
        <v>1.0281050529979911E-2</v>
      </c>
    </row>
    <row r="15" spans="1:18" x14ac:dyDescent="0.2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8" x14ac:dyDescent="0.2">
      <c r="A16" s="4">
        <v>1</v>
      </c>
      <c r="B16" s="5">
        <v>20</v>
      </c>
      <c r="C16" s="5">
        <v>0.41299999999999998</v>
      </c>
      <c r="D16" s="5">
        <v>0.67600000000000005</v>
      </c>
      <c r="E16" s="5">
        <v>0.52200000000000002</v>
      </c>
      <c r="F16" s="5">
        <v>0.42399999999999999</v>
      </c>
      <c r="G16" s="5">
        <v>0.438</v>
      </c>
      <c r="H16" s="5">
        <v>0.40899999999999997</v>
      </c>
      <c r="I16" s="5">
        <v>0.39200000000000002</v>
      </c>
      <c r="J16" s="5">
        <v>0.40100000000000002</v>
      </c>
      <c r="K16" s="5">
        <v>0.39900000000000002</v>
      </c>
      <c r="L16" s="5">
        <v>0.38900000000000001</v>
      </c>
      <c r="M16" s="5">
        <v>0.40300000000000002</v>
      </c>
      <c r="N16" s="5">
        <v>0.40899999999999997</v>
      </c>
      <c r="O16" s="5">
        <v>0.39800000000000002</v>
      </c>
      <c r="P16" s="5"/>
    </row>
    <row r="17" spans="1:16" x14ac:dyDescent="0.2">
      <c r="A17" s="4">
        <v>2</v>
      </c>
      <c r="B17" s="5">
        <v>20</v>
      </c>
      <c r="C17" s="5">
        <v>0.40600000000000003</v>
      </c>
      <c r="D17" s="5">
        <v>0.504</v>
      </c>
      <c r="E17" s="5">
        <v>0.41799999999999998</v>
      </c>
      <c r="F17" s="5">
        <v>0.42299999999999999</v>
      </c>
      <c r="G17" s="5">
        <v>0.42799999999999999</v>
      </c>
      <c r="H17" s="5">
        <v>0.40899999999999997</v>
      </c>
      <c r="I17" s="5">
        <v>0.40699999999999997</v>
      </c>
      <c r="J17" s="5">
        <v>0.39900000000000002</v>
      </c>
      <c r="K17" s="5">
        <v>0.39800000000000002</v>
      </c>
      <c r="L17" s="5">
        <v>0.40699999999999997</v>
      </c>
      <c r="M17" s="5">
        <v>0.39600000000000002</v>
      </c>
      <c r="N17" s="5">
        <v>0.39100000000000001</v>
      </c>
      <c r="O17" s="5">
        <v>0.39400000000000002</v>
      </c>
      <c r="P17" s="5"/>
    </row>
    <row r="18" spans="1:16" x14ac:dyDescent="0.2">
      <c r="A18" s="4">
        <v>3</v>
      </c>
      <c r="B18" s="5">
        <v>20</v>
      </c>
      <c r="C18" s="6">
        <v>0.40600000000000003</v>
      </c>
      <c r="D18" s="5">
        <v>0.46700000000000003</v>
      </c>
      <c r="E18" s="6">
        <v>0.42799999999999999</v>
      </c>
      <c r="F18" s="5">
        <v>0.435</v>
      </c>
      <c r="G18" s="5">
        <v>0.42699999999999999</v>
      </c>
      <c r="H18" s="5">
        <v>0.4</v>
      </c>
      <c r="I18" s="5">
        <v>0.40600000000000003</v>
      </c>
      <c r="J18" s="5">
        <v>0.38900000000000001</v>
      </c>
      <c r="K18" s="5">
        <v>0.4</v>
      </c>
      <c r="L18" s="5">
        <v>0.39100000000000001</v>
      </c>
      <c r="M18" s="5">
        <v>0.39800000000000002</v>
      </c>
      <c r="N18" s="5">
        <v>0.40500000000000003</v>
      </c>
      <c r="O18" s="5">
        <v>0.39800000000000002</v>
      </c>
      <c r="P18" s="5"/>
    </row>
    <row r="19" spans="1:16" x14ac:dyDescent="0.2">
      <c r="A19" s="4">
        <v>4</v>
      </c>
      <c r="B19" s="5">
        <v>20</v>
      </c>
      <c r="C19" s="5">
        <v>0.40400000000000003</v>
      </c>
      <c r="D19" s="5">
        <v>0.68799999999999994</v>
      </c>
      <c r="E19" s="6">
        <v>0.433</v>
      </c>
      <c r="F19" s="5">
        <v>0.41199999999999998</v>
      </c>
      <c r="G19" s="5">
        <v>0.42399999999999999</v>
      </c>
      <c r="H19" s="5">
        <v>0.40799999999999997</v>
      </c>
      <c r="I19" s="5">
        <v>0.39800000000000002</v>
      </c>
      <c r="J19" s="5">
        <v>0.39</v>
      </c>
      <c r="K19" s="5">
        <v>0.40200000000000002</v>
      </c>
      <c r="L19" s="5">
        <v>0.39600000000000002</v>
      </c>
      <c r="M19" s="5">
        <v>0.39100000000000001</v>
      </c>
      <c r="N19" s="5">
        <v>0.41199999999999998</v>
      </c>
      <c r="O19" s="5">
        <v>0.39</v>
      </c>
      <c r="P19" s="5"/>
    </row>
    <row r="20" spans="1:16" x14ac:dyDescent="0.2">
      <c r="A20" s="4">
        <v>5</v>
      </c>
      <c r="B20" s="5">
        <v>20</v>
      </c>
      <c r="C20" s="5">
        <v>0.41599999999999998</v>
      </c>
      <c r="D20" s="5">
        <v>0.54600000000000004</v>
      </c>
      <c r="E20" s="5">
        <v>0.433</v>
      </c>
      <c r="F20" s="5">
        <v>0.43</v>
      </c>
      <c r="G20" s="5">
        <v>0.42399999999999999</v>
      </c>
      <c r="H20" s="5">
        <v>0.378</v>
      </c>
      <c r="I20" s="5">
        <v>0.40899999999999997</v>
      </c>
      <c r="J20" s="5">
        <v>0.39200000000000002</v>
      </c>
      <c r="K20" s="6">
        <v>0.40300000000000002</v>
      </c>
      <c r="L20" s="5">
        <v>0.39400000000000002</v>
      </c>
      <c r="M20" s="5">
        <v>0.4</v>
      </c>
      <c r="N20" s="5">
        <v>0.39300000000000002</v>
      </c>
      <c r="O20" s="5">
        <v>0.39400000000000002</v>
      </c>
      <c r="P20" s="5"/>
    </row>
    <row r="21" spans="1:16" x14ac:dyDescent="0.2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2">
      <c r="A22" s="4">
        <v>1</v>
      </c>
      <c r="B22" s="5">
        <v>30</v>
      </c>
      <c r="C22" s="5">
        <v>0.42199999999999999</v>
      </c>
      <c r="D22" s="5">
        <v>0.67100000000000004</v>
      </c>
      <c r="E22" s="6">
        <v>0.55000000000000004</v>
      </c>
      <c r="F22" s="5">
        <v>0.42299999999999999</v>
      </c>
      <c r="G22" s="5">
        <v>0.443</v>
      </c>
      <c r="H22" s="5">
        <v>0.41099999999999998</v>
      </c>
      <c r="I22" s="6">
        <v>0.39400000000000002</v>
      </c>
      <c r="J22" s="5">
        <v>0.40200000000000002</v>
      </c>
      <c r="K22" s="5">
        <v>0.4</v>
      </c>
      <c r="L22" s="5">
        <v>0.39400000000000002</v>
      </c>
      <c r="M22" s="5">
        <v>0.40699999999999997</v>
      </c>
      <c r="N22" s="5">
        <v>0.41799999999999998</v>
      </c>
      <c r="O22" s="5">
        <v>0.40400000000000003</v>
      </c>
      <c r="P22" s="5"/>
    </row>
    <row r="23" spans="1:16" x14ac:dyDescent="0.2">
      <c r="A23" s="4">
        <v>2</v>
      </c>
      <c r="B23" s="5">
        <v>30</v>
      </c>
      <c r="C23" s="5">
        <v>0.41599999999999998</v>
      </c>
      <c r="D23" s="5">
        <v>0.53300000000000003</v>
      </c>
      <c r="E23" s="5">
        <v>0.44</v>
      </c>
      <c r="F23" s="5">
        <v>0.42599999999999999</v>
      </c>
      <c r="G23" s="5">
        <v>0.43099999999999999</v>
      </c>
      <c r="H23" s="5">
        <v>0.41099999999999998</v>
      </c>
      <c r="I23" s="5">
        <v>0.41</v>
      </c>
      <c r="J23" s="5">
        <v>0.39600000000000002</v>
      </c>
      <c r="K23" s="5">
        <v>0.39800000000000002</v>
      </c>
      <c r="L23" s="5">
        <v>0.41099999999999998</v>
      </c>
      <c r="M23" s="5">
        <v>0.40799999999999997</v>
      </c>
      <c r="N23" s="5">
        <v>0.39700000000000002</v>
      </c>
      <c r="O23" s="5">
        <v>0.4</v>
      </c>
      <c r="P23" s="5"/>
    </row>
    <row r="24" spans="1:16" x14ac:dyDescent="0.2">
      <c r="A24" s="4">
        <v>3</v>
      </c>
      <c r="B24" s="5">
        <v>30</v>
      </c>
      <c r="C24" s="5">
        <v>0.41599999999999998</v>
      </c>
      <c r="D24" s="5">
        <v>0.48899999999999999</v>
      </c>
      <c r="E24" s="5">
        <v>0.45100000000000001</v>
      </c>
      <c r="F24" s="5">
        <v>0.437</v>
      </c>
      <c r="G24" s="5">
        <v>0.43</v>
      </c>
      <c r="H24" s="5">
        <v>0.40300000000000002</v>
      </c>
      <c r="I24" s="5">
        <v>0.41</v>
      </c>
      <c r="J24" s="5">
        <v>0.39700000000000002</v>
      </c>
      <c r="K24" s="5">
        <v>0.39600000000000002</v>
      </c>
      <c r="L24" s="5">
        <v>0.40300000000000002</v>
      </c>
      <c r="M24" s="5">
        <v>0.40500000000000003</v>
      </c>
      <c r="N24" s="5">
        <v>0.41299999999999998</v>
      </c>
      <c r="O24" s="5">
        <v>0.40400000000000003</v>
      </c>
      <c r="P24" s="5"/>
    </row>
    <row r="25" spans="1:16" x14ac:dyDescent="0.2">
      <c r="A25" s="4">
        <v>4</v>
      </c>
      <c r="B25" s="5">
        <v>30</v>
      </c>
      <c r="C25" s="5">
        <v>0.41299999999999998</v>
      </c>
      <c r="D25" s="5">
        <v>0.68600000000000005</v>
      </c>
      <c r="E25" s="5">
        <v>0.45100000000000001</v>
      </c>
      <c r="F25" s="5">
        <v>0.41399999999999998</v>
      </c>
      <c r="G25" s="5">
        <v>0.43</v>
      </c>
      <c r="H25" s="5">
        <v>0.40699999999999997</v>
      </c>
      <c r="I25" s="5">
        <v>0.4</v>
      </c>
      <c r="J25" s="5">
        <v>0.39200000000000002</v>
      </c>
      <c r="K25" s="5">
        <v>0.39500000000000002</v>
      </c>
      <c r="L25" s="5">
        <v>0.39800000000000002</v>
      </c>
      <c r="M25" s="5">
        <v>0.39900000000000002</v>
      </c>
      <c r="N25" s="5">
        <v>0.42199999999999999</v>
      </c>
      <c r="O25" s="5">
        <v>0.39400000000000002</v>
      </c>
      <c r="P25" s="5"/>
    </row>
    <row r="26" spans="1:16" x14ac:dyDescent="0.2">
      <c r="A26" s="4">
        <v>5</v>
      </c>
      <c r="B26" s="5">
        <v>30</v>
      </c>
      <c r="C26" s="5">
        <v>0.43099999999999999</v>
      </c>
      <c r="D26" s="5">
        <v>0.58299999999999996</v>
      </c>
      <c r="E26" s="5">
        <v>0.44900000000000001</v>
      </c>
      <c r="F26" s="5">
        <v>0.43099999999999999</v>
      </c>
      <c r="G26" s="5">
        <v>0.43099999999999999</v>
      </c>
      <c r="H26" s="5">
        <v>0.373</v>
      </c>
      <c r="I26" s="5">
        <v>0.41</v>
      </c>
      <c r="J26" s="5">
        <v>0.39600000000000002</v>
      </c>
      <c r="K26" s="5">
        <v>0.40300000000000002</v>
      </c>
      <c r="L26" s="5">
        <v>0.39900000000000002</v>
      </c>
      <c r="M26" s="5">
        <v>0.40500000000000003</v>
      </c>
      <c r="N26" s="5">
        <v>0.40799999999999997</v>
      </c>
      <c r="O26" s="5">
        <v>0.39700000000000002</v>
      </c>
      <c r="P26" s="5"/>
    </row>
    <row r="27" spans="1:16" x14ac:dyDescent="0.2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x14ac:dyDescent="0.2">
      <c r="A28" s="4">
        <v>1</v>
      </c>
      <c r="B28" s="5">
        <v>40</v>
      </c>
      <c r="C28" s="5">
        <v>0.433</v>
      </c>
      <c r="D28" s="5">
        <v>0.68400000000000005</v>
      </c>
      <c r="E28" s="5">
        <v>0.55700000000000005</v>
      </c>
      <c r="F28" s="6">
        <v>0.42799999999999999</v>
      </c>
      <c r="G28" s="5">
        <v>0.44500000000000001</v>
      </c>
      <c r="H28" s="5">
        <v>0.40699999999999997</v>
      </c>
      <c r="I28" s="5">
        <v>0.39400000000000002</v>
      </c>
      <c r="J28" s="5">
        <v>0.4</v>
      </c>
      <c r="K28" s="5">
        <v>0.40400000000000003</v>
      </c>
      <c r="L28" s="5">
        <v>0.39700000000000002</v>
      </c>
      <c r="M28" s="5">
        <v>0.41599999999999998</v>
      </c>
      <c r="N28" s="5">
        <v>0.43</v>
      </c>
      <c r="O28" s="5">
        <v>0.41299999999999998</v>
      </c>
      <c r="P28" s="5"/>
    </row>
    <row r="29" spans="1:16" x14ac:dyDescent="0.2">
      <c r="A29" s="4">
        <v>2</v>
      </c>
      <c r="B29" s="5">
        <v>40</v>
      </c>
      <c r="C29" s="5">
        <v>0.42699999999999999</v>
      </c>
      <c r="D29" s="5">
        <v>0.56200000000000006</v>
      </c>
      <c r="E29" s="5">
        <v>0.442</v>
      </c>
      <c r="F29" s="6">
        <v>0.42899999999999999</v>
      </c>
      <c r="G29" s="5">
        <v>0.434</v>
      </c>
      <c r="H29" s="5">
        <v>0.41399999999999998</v>
      </c>
      <c r="I29" s="5">
        <v>0.41499999999999998</v>
      </c>
      <c r="J29" s="5">
        <v>0.39500000000000002</v>
      </c>
      <c r="K29" s="5">
        <v>0.40100000000000002</v>
      </c>
      <c r="L29" s="5">
        <v>0.41599999999999998</v>
      </c>
      <c r="M29" s="5">
        <v>0.41599999999999998</v>
      </c>
      <c r="N29" s="5">
        <v>0.40400000000000003</v>
      </c>
      <c r="O29" s="5">
        <v>0.40600000000000003</v>
      </c>
      <c r="P29" s="5"/>
    </row>
    <row r="30" spans="1:16" x14ac:dyDescent="0.2">
      <c r="A30" s="4">
        <v>3</v>
      </c>
      <c r="B30" s="5">
        <v>40</v>
      </c>
      <c r="C30" s="5">
        <v>0.43</v>
      </c>
      <c r="D30" s="5">
        <v>0.51800000000000002</v>
      </c>
      <c r="E30" s="5">
        <v>0.46200000000000002</v>
      </c>
      <c r="F30" s="5">
        <v>0.44</v>
      </c>
      <c r="G30" s="5">
        <v>0.432</v>
      </c>
      <c r="H30" s="5">
        <v>0.40100000000000002</v>
      </c>
      <c r="I30" s="5">
        <v>0.41099999999999998</v>
      </c>
      <c r="J30" s="5">
        <v>0.39400000000000002</v>
      </c>
      <c r="K30" s="5">
        <v>0.40400000000000003</v>
      </c>
      <c r="L30" s="5">
        <v>0.39800000000000002</v>
      </c>
      <c r="M30" s="5">
        <v>0.41</v>
      </c>
      <c r="N30" s="5">
        <v>0.42599999999999999</v>
      </c>
      <c r="O30" s="5">
        <v>0.41299999999999998</v>
      </c>
      <c r="P30" s="5"/>
    </row>
    <row r="31" spans="1:16" x14ac:dyDescent="0.2">
      <c r="A31" s="4">
        <v>4</v>
      </c>
      <c r="B31" s="5">
        <v>40</v>
      </c>
      <c r="C31" s="5">
        <v>0.42299999999999999</v>
      </c>
      <c r="D31" s="5">
        <v>0.68899999999999995</v>
      </c>
      <c r="E31" s="5">
        <v>0.45400000000000001</v>
      </c>
      <c r="F31" s="5">
        <v>0.41799999999999998</v>
      </c>
      <c r="G31" s="5">
        <v>0.432</v>
      </c>
      <c r="H31" s="5">
        <v>0.41</v>
      </c>
      <c r="I31" s="5">
        <v>0.40400000000000003</v>
      </c>
      <c r="J31" s="5">
        <v>0.39500000000000002</v>
      </c>
      <c r="K31" s="5">
        <v>0.40300000000000002</v>
      </c>
      <c r="L31" s="5">
        <v>0.40600000000000003</v>
      </c>
      <c r="M31" s="5">
        <v>0.40200000000000002</v>
      </c>
      <c r="N31" s="5">
        <v>0.42899999999999999</v>
      </c>
      <c r="O31" s="5">
        <v>0.40400000000000003</v>
      </c>
      <c r="P31" s="5"/>
    </row>
    <row r="32" spans="1:16" x14ac:dyDescent="0.2">
      <c r="A32" s="4">
        <v>5</v>
      </c>
      <c r="B32" s="5">
        <v>40</v>
      </c>
      <c r="C32" s="5">
        <v>0.44800000000000001</v>
      </c>
      <c r="D32" s="5">
        <v>0.59399999999999997</v>
      </c>
      <c r="E32" s="5">
        <v>0.45600000000000002</v>
      </c>
      <c r="F32" s="5">
        <v>0.435</v>
      </c>
      <c r="G32" s="5">
        <v>0.434</v>
      </c>
      <c r="H32" s="5">
        <v>0.374</v>
      </c>
      <c r="I32" s="5">
        <v>0.41499999999999998</v>
      </c>
      <c r="J32" s="5">
        <v>0.39700000000000002</v>
      </c>
      <c r="K32" s="5">
        <v>0.40200000000000002</v>
      </c>
      <c r="L32" s="5">
        <v>0.40500000000000003</v>
      </c>
      <c r="M32" s="5">
        <v>0.41199999999999998</v>
      </c>
      <c r="N32" s="5">
        <v>0.41599999999999998</v>
      </c>
      <c r="O32" s="5">
        <v>0.41099999999999998</v>
      </c>
      <c r="P32" s="5"/>
    </row>
    <row r="33" spans="1:16" x14ac:dyDescent="0.2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2">
      <c r="A34" s="4">
        <v>1</v>
      </c>
      <c r="B34" s="5">
        <v>50</v>
      </c>
      <c r="C34" s="5">
        <v>0.441</v>
      </c>
      <c r="D34" s="5">
        <v>0.68200000000000005</v>
      </c>
      <c r="E34" s="5">
        <v>0.56999999999999995</v>
      </c>
      <c r="F34" s="5">
        <v>0.43</v>
      </c>
      <c r="G34" s="5">
        <v>0.45</v>
      </c>
      <c r="H34" s="5">
        <v>0.41</v>
      </c>
      <c r="I34" s="5">
        <v>0.39500000000000002</v>
      </c>
      <c r="J34" s="5">
        <v>0.40100000000000002</v>
      </c>
      <c r="K34" s="5">
        <v>0.40600000000000003</v>
      </c>
      <c r="L34" s="5">
        <v>0.40600000000000003</v>
      </c>
      <c r="M34" s="5">
        <v>0.41799999999999998</v>
      </c>
      <c r="N34" s="5">
        <v>0.44</v>
      </c>
      <c r="O34" s="5">
        <v>0.42099999999999999</v>
      </c>
      <c r="P34" s="5"/>
    </row>
    <row r="35" spans="1:16" x14ac:dyDescent="0.2">
      <c r="A35" s="4">
        <v>2</v>
      </c>
      <c r="B35" s="5">
        <v>50</v>
      </c>
      <c r="C35" s="5">
        <v>0.44600000000000001</v>
      </c>
      <c r="D35" s="5">
        <v>0.60099999999999998</v>
      </c>
      <c r="E35" s="5">
        <v>0.45</v>
      </c>
      <c r="F35" s="5">
        <v>0.43</v>
      </c>
      <c r="G35" s="5">
        <v>0.435</v>
      </c>
      <c r="H35" s="5">
        <v>0.40899999999999997</v>
      </c>
      <c r="I35" s="5">
        <v>0.41499999999999998</v>
      </c>
      <c r="J35" s="5">
        <v>0.39700000000000002</v>
      </c>
      <c r="K35" s="5">
        <v>0.40300000000000002</v>
      </c>
      <c r="L35" s="5">
        <v>0.42</v>
      </c>
      <c r="M35" s="5">
        <v>0.42299999999999999</v>
      </c>
      <c r="N35" s="5">
        <v>0.42099999999999999</v>
      </c>
      <c r="O35" s="5">
        <v>0.42599999999999999</v>
      </c>
      <c r="P35" s="5"/>
    </row>
    <row r="36" spans="1:16" x14ac:dyDescent="0.2">
      <c r="A36" s="4">
        <v>3</v>
      </c>
      <c r="B36" s="5">
        <v>50</v>
      </c>
      <c r="C36" s="5">
        <v>0.439</v>
      </c>
      <c r="D36" s="6">
        <v>0.54800000000000004</v>
      </c>
      <c r="E36" s="5">
        <v>0.46700000000000003</v>
      </c>
      <c r="F36" s="6">
        <v>0.44</v>
      </c>
      <c r="G36" s="5">
        <v>0.438</v>
      </c>
      <c r="H36" s="5">
        <v>0.40699999999999997</v>
      </c>
      <c r="I36" s="5">
        <v>0.41199999999999998</v>
      </c>
      <c r="J36" s="5">
        <v>0.39300000000000002</v>
      </c>
      <c r="K36" s="5">
        <v>0.40500000000000003</v>
      </c>
      <c r="L36" s="5">
        <v>0.40100000000000002</v>
      </c>
      <c r="M36" s="5">
        <v>0.42199999999999999</v>
      </c>
      <c r="N36" s="5">
        <v>0.432</v>
      </c>
      <c r="O36" s="5">
        <v>0.41899999999999998</v>
      </c>
      <c r="P36" s="5"/>
    </row>
    <row r="37" spans="1:16" x14ac:dyDescent="0.2">
      <c r="A37" s="4">
        <v>4</v>
      </c>
      <c r="B37" s="5">
        <v>50</v>
      </c>
      <c r="C37" s="5">
        <v>0.437</v>
      </c>
      <c r="D37" s="5">
        <v>0.69299999999999995</v>
      </c>
      <c r="E37" s="5">
        <v>0.46700000000000003</v>
      </c>
      <c r="F37" s="6">
        <v>0.41799999999999998</v>
      </c>
      <c r="G37" s="6">
        <v>0.434</v>
      </c>
      <c r="H37" s="5">
        <v>0.41099999999999998</v>
      </c>
      <c r="I37" s="5">
        <v>0.40500000000000003</v>
      </c>
      <c r="J37" s="5">
        <v>0.39400000000000002</v>
      </c>
      <c r="K37" s="5">
        <v>0.40500000000000003</v>
      </c>
      <c r="L37" s="5">
        <v>0.40799999999999997</v>
      </c>
      <c r="M37" s="6">
        <v>0.41299999999999998</v>
      </c>
      <c r="N37" s="5">
        <v>0.435</v>
      </c>
      <c r="O37" s="5">
        <v>0.40899999999999997</v>
      </c>
      <c r="P37" s="5"/>
    </row>
    <row r="38" spans="1:16" x14ac:dyDescent="0.2">
      <c r="A38" s="4">
        <v>5</v>
      </c>
      <c r="B38" s="5">
        <v>50</v>
      </c>
      <c r="C38" s="5">
        <v>0.45200000000000001</v>
      </c>
      <c r="D38" s="5">
        <v>0.60199999999999998</v>
      </c>
      <c r="E38" s="5">
        <v>0.46300000000000002</v>
      </c>
      <c r="F38" s="5">
        <v>0.436</v>
      </c>
      <c r="G38" s="5">
        <v>0.438</v>
      </c>
      <c r="H38" s="5">
        <v>0.376</v>
      </c>
      <c r="I38" s="5">
        <v>0.41399999999999998</v>
      </c>
      <c r="J38" s="5">
        <v>0.39800000000000002</v>
      </c>
      <c r="K38" s="5">
        <v>0.40600000000000003</v>
      </c>
      <c r="L38" s="5">
        <v>0.40899999999999997</v>
      </c>
      <c r="M38" s="5">
        <v>0.42299999999999999</v>
      </c>
      <c r="N38" s="5">
        <v>0.42399999999999999</v>
      </c>
      <c r="O38" s="5">
        <v>0.41299999999999998</v>
      </c>
      <c r="P38" s="5"/>
    </row>
    <row r="39" spans="1:16" x14ac:dyDescent="0.2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x14ac:dyDescent="0.2">
      <c r="A40" s="4">
        <v>1</v>
      </c>
      <c r="B40" s="5">
        <v>60</v>
      </c>
      <c r="C40" s="5">
        <v>0.443</v>
      </c>
      <c r="D40" s="5">
        <v>0.68</v>
      </c>
      <c r="E40" s="5">
        <v>0.58199999999999996</v>
      </c>
      <c r="F40" s="5">
        <v>0.433</v>
      </c>
      <c r="G40" s="5">
        <v>0.44900000000000001</v>
      </c>
      <c r="H40" s="5">
        <v>0.41099999999999998</v>
      </c>
      <c r="I40" s="5">
        <v>0.39900000000000002</v>
      </c>
      <c r="J40" s="5">
        <v>0.40200000000000002</v>
      </c>
      <c r="K40" s="5">
        <v>0.40699999999999997</v>
      </c>
      <c r="L40" s="5">
        <v>0.41199999999999998</v>
      </c>
      <c r="M40" s="5">
        <v>0.42599999999999999</v>
      </c>
      <c r="N40" s="5">
        <v>0.434</v>
      </c>
      <c r="O40" s="5">
        <v>0.42199999999999999</v>
      </c>
      <c r="P40" s="5"/>
    </row>
    <row r="41" spans="1:16" x14ac:dyDescent="0.2">
      <c r="A41" s="4">
        <v>2</v>
      </c>
      <c r="B41" s="5">
        <v>60</v>
      </c>
      <c r="C41" s="5">
        <v>0.45400000000000001</v>
      </c>
      <c r="D41" s="5">
        <v>0.61199999999999999</v>
      </c>
      <c r="E41" s="5">
        <v>0.45100000000000001</v>
      </c>
      <c r="F41" s="5">
        <v>0.436</v>
      </c>
      <c r="G41" s="5">
        <v>0.437</v>
      </c>
      <c r="H41" s="5">
        <v>0.41299999999999998</v>
      </c>
      <c r="I41" s="5">
        <v>0.41699999999999998</v>
      </c>
      <c r="J41" s="5">
        <v>0.39600000000000002</v>
      </c>
      <c r="K41" s="5">
        <v>0.40300000000000002</v>
      </c>
      <c r="L41" s="5">
        <v>0.42599999999999999</v>
      </c>
      <c r="M41" s="5">
        <v>0.42899999999999999</v>
      </c>
      <c r="N41" s="5">
        <v>0.41499999999999998</v>
      </c>
      <c r="O41" s="5">
        <v>0.42299999999999999</v>
      </c>
      <c r="P41" s="5"/>
    </row>
    <row r="42" spans="1:16" x14ac:dyDescent="0.2">
      <c r="A42" s="4">
        <v>3</v>
      </c>
      <c r="B42" s="5">
        <v>60</v>
      </c>
      <c r="C42" s="5">
        <v>0.442</v>
      </c>
      <c r="D42" s="5">
        <v>0.56899999999999995</v>
      </c>
      <c r="E42" s="5">
        <v>0.46600000000000003</v>
      </c>
      <c r="F42" s="5">
        <v>0.44400000000000001</v>
      </c>
      <c r="G42" s="5">
        <v>0.44</v>
      </c>
      <c r="H42" s="5">
        <v>0.41099999999999998</v>
      </c>
      <c r="I42" s="5">
        <v>0.41399999999999998</v>
      </c>
      <c r="J42" s="5">
        <v>0.39500000000000002</v>
      </c>
      <c r="K42" s="5">
        <v>0.40600000000000003</v>
      </c>
      <c r="L42" s="5">
        <v>0.40899999999999997</v>
      </c>
      <c r="M42" s="5">
        <v>0.42899999999999999</v>
      </c>
      <c r="N42" s="5">
        <v>0.443</v>
      </c>
      <c r="O42" s="5">
        <v>0.42499999999999999</v>
      </c>
      <c r="P42" s="5"/>
    </row>
    <row r="43" spans="1:16" x14ac:dyDescent="0.2">
      <c r="A43" s="4">
        <v>4</v>
      </c>
      <c r="B43" s="5">
        <v>60</v>
      </c>
      <c r="C43" s="5">
        <v>0.442</v>
      </c>
      <c r="D43" s="5">
        <v>0.70699999999999996</v>
      </c>
      <c r="E43" s="6">
        <v>0.47499999999999998</v>
      </c>
      <c r="F43" s="5">
        <v>0.41699999999999998</v>
      </c>
      <c r="G43" s="5">
        <v>0.438</v>
      </c>
      <c r="H43" s="5">
        <v>0.41399999999999998</v>
      </c>
      <c r="I43" s="6">
        <v>0.40699999999999997</v>
      </c>
      <c r="J43" s="5">
        <v>0.39800000000000002</v>
      </c>
      <c r="K43" s="5">
        <v>0.40799999999999997</v>
      </c>
      <c r="L43" s="5">
        <v>0.41499999999999998</v>
      </c>
      <c r="M43" s="5">
        <v>0.41399999999999998</v>
      </c>
      <c r="N43" s="5">
        <v>0.442</v>
      </c>
      <c r="O43" s="5">
        <v>0.41699999999999998</v>
      </c>
      <c r="P43" s="5"/>
    </row>
    <row r="44" spans="1:16" x14ac:dyDescent="0.2">
      <c r="A44" s="4">
        <v>5</v>
      </c>
      <c r="B44" s="5">
        <v>60</v>
      </c>
      <c r="C44" s="5">
        <v>0.46800000000000003</v>
      </c>
      <c r="D44" s="5">
        <v>0.624</v>
      </c>
      <c r="E44" s="5">
        <v>0.46800000000000003</v>
      </c>
      <c r="F44" s="5">
        <v>0.438</v>
      </c>
      <c r="G44" s="5">
        <v>0.441</v>
      </c>
      <c r="H44" s="5">
        <v>0.379</v>
      </c>
      <c r="I44" s="6">
        <v>0.41499999999999998</v>
      </c>
      <c r="J44" s="5">
        <v>0.39900000000000002</v>
      </c>
      <c r="K44" s="5">
        <v>0.40699999999999997</v>
      </c>
      <c r="L44" s="5">
        <v>0.41599999999999998</v>
      </c>
      <c r="M44" s="5">
        <v>0.42499999999999999</v>
      </c>
      <c r="N44" s="5">
        <v>0.43</v>
      </c>
      <c r="O44" s="5">
        <v>0.42</v>
      </c>
      <c r="P44" s="5"/>
    </row>
    <row r="45" spans="1:16" x14ac:dyDescent="0.2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 x14ac:dyDescent="0.2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 x14ac:dyDescent="0.2">
      <c r="A47" s="29" t="s">
        <v>3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</row>
    <row r="48" spans="1:16" ht="51" x14ac:dyDescent="0.2">
      <c r="A48" s="2" t="s">
        <v>1</v>
      </c>
      <c r="B48" s="3" t="s">
        <v>2</v>
      </c>
      <c r="C48" s="3" t="s">
        <v>8</v>
      </c>
      <c r="D48" s="3" t="s">
        <v>9</v>
      </c>
      <c r="E48" s="3" t="s">
        <v>10</v>
      </c>
      <c r="F48" s="3" t="s">
        <v>11</v>
      </c>
      <c r="G48" s="3" t="s">
        <v>12</v>
      </c>
      <c r="H48" s="3" t="s">
        <v>23</v>
      </c>
      <c r="I48" s="3" t="s">
        <v>24</v>
      </c>
      <c r="J48" s="3" t="s">
        <v>25</v>
      </c>
      <c r="K48" s="3" t="s">
        <v>26</v>
      </c>
      <c r="L48" s="3" t="s">
        <v>28</v>
      </c>
      <c r="M48" s="3" t="s">
        <v>27</v>
      </c>
      <c r="N48" s="3" t="s">
        <v>29</v>
      </c>
      <c r="O48" s="3" t="s">
        <v>30</v>
      </c>
      <c r="P48" s="3"/>
    </row>
    <row r="49" spans="1:16" x14ac:dyDescent="0.2">
      <c r="A49" s="4">
        <v>1</v>
      </c>
      <c r="B49" s="5">
        <v>0</v>
      </c>
      <c r="C49" s="7">
        <f t="shared" ref="C49:F53" si="0" xml:space="preserve"> (C4-C4)/14.52</f>
        <v>0</v>
      </c>
      <c r="D49" s="7">
        <f t="shared" si="0"/>
        <v>0</v>
      </c>
      <c r="E49" s="7">
        <f t="shared" si="0"/>
        <v>0</v>
      </c>
      <c r="F49" s="7">
        <f t="shared" si="0"/>
        <v>0</v>
      </c>
      <c r="G49" s="7">
        <f t="shared" ref="G49:K53" si="1" xml:space="preserve"> (G4-G4)/14.52</f>
        <v>0</v>
      </c>
      <c r="H49" s="7">
        <f t="shared" si="1"/>
        <v>0</v>
      </c>
      <c r="I49" s="7">
        <f t="shared" si="1"/>
        <v>0</v>
      </c>
      <c r="J49" s="7">
        <f t="shared" si="1"/>
        <v>0</v>
      </c>
      <c r="K49" s="7">
        <f t="shared" si="1"/>
        <v>0</v>
      </c>
      <c r="L49" s="7">
        <f t="shared" ref="L49:M49" si="2" xml:space="preserve"> (L4-L4)/14.52</f>
        <v>0</v>
      </c>
      <c r="M49" s="7">
        <f t="shared" si="2"/>
        <v>0</v>
      </c>
      <c r="N49" s="7">
        <f t="shared" ref="N49:O49" si="3" xml:space="preserve"> (N4-N4)/14.52</f>
        <v>0</v>
      </c>
      <c r="O49" s="7">
        <f t="shared" si="3"/>
        <v>0</v>
      </c>
      <c r="P49" s="7"/>
    </row>
    <row r="50" spans="1:16" x14ac:dyDescent="0.2">
      <c r="A50" s="4">
        <v>2</v>
      </c>
      <c r="B50" s="5">
        <v>0</v>
      </c>
      <c r="C50" s="7">
        <f t="shared" si="0"/>
        <v>0</v>
      </c>
      <c r="D50" s="7">
        <f t="shared" si="0"/>
        <v>0</v>
      </c>
      <c r="E50" s="7">
        <f t="shared" si="0"/>
        <v>0</v>
      </c>
      <c r="F50" s="7">
        <f t="shared" si="0"/>
        <v>0</v>
      </c>
      <c r="G50" s="7">
        <f t="shared" si="1"/>
        <v>0</v>
      </c>
      <c r="H50" s="7">
        <f t="shared" si="1"/>
        <v>0</v>
      </c>
      <c r="I50" s="7">
        <f t="shared" si="1"/>
        <v>0</v>
      </c>
      <c r="J50" s="7">
        <f t="shared" si="1"/>
        <v>0</v>
      </c>
      <c r="K50" s="7">
        <f t="shared" si="1"/>
        <v>0</v>
      </c>
      <c r="L50" s="7">
        <f t="shared" ref="L50:M50" si="4" xml:space="preserve"> (L5-L5)/14.52</f>
        <v>0</v>
      </c>
      <c r="M50" s="7">
        <f t="shared" si="4"/>
        <v>0</v>
      </c>
      <c r="N50" s="7">
        <f t="shared" ref="N50:O50" si="5" xml:space="preserve"> (N5-N5)/14.52</f>
        <v>0</v>
      </c>
      <c r="O50" s="7">
        <f t="shared" si="5"/>
        <v>0</v>
      </c>
      <c r="P50" s="7"/>
    </row>
    <row r="51" spans="1:16" x14ac:dyDescent="0.2">
      <c r="A51" s="4">
        <v>3</v>
      </c>
      <c r="B51" s="5">
        <v>0</v>
      </c>
      <c r="C51" s="7">
        <f t="shared" si="0"/>
        <v>0</v>
      </c>
      <c r="D51" s="7">
        <f t="shared" si="0"/>
        <v>0</v>
      </c>
      <c r="E51" s="7">
        <f t="shared" si="0"/>
        <v>0</v>
      </c>
      <c r="F51" s="7">
        <f t="shared" si="0"/>
        <v>0</v>
      </c>
      <c r="G51" s="7">
        <f t="shared" si="1"/>
        <v>0</v>
      </c>
      <c r="H51" s="7">
        <f t="shared" si="1"/>
        <v>0</v>
      </c>
      <c r="I51" s="7">
        <f t="shared" si="1"/>
        <v>0</v>
      </c>
      <c r="J51" s="7">
        <f t="shared" si="1"/>
        <v>0</v>
      </c>
      <c r="K51" s="7">
        <f t="shared" si="1"/>
        <v>0</v>
      </c>
      <c r="L51" s="7">
        <f t="shared" ref="L51:M51" si="6" xml:space="preserve"> (L6-L6)/14.52</f>
        <v>0</v>
      </c>
      <c r="M51" s="7">
        <f t="shared" si="6"/>
        <v>0</v>
      </c>
      <c r="N51" s="7">
        <f t="shared" ref="N51:O51" si="7" xml:space="preserve"> (N6-N6)/14.52</f>
        <v>0</v>
      </c>
      <c r="O51" s="7">
        <f t="shared" si="7"/>
        <v>0</v>
      </c>
      <c r="P51" s="7"/>
    </row>
    <row r="52" spans="1:16" x14ac:dyDescent="0.2">
      <c r="A52" s="4">
        <v>4</v>
      </c>
      <c r="B52" s="5">
        <v>0</v>
      </c>
      <c r="C52" s="7">
        <f t="shared" si="0"/>
        <v>0</v>
      </c>
      <c r="D52" s="7">
        <f t="shared" si="0"/>
        <v>0</v>
      </c>
      <c r="E52" s="7">
        <f t="shared" si="0"/>
        <v>0</v>
      </c>
      <c r="F52" s="7">
        <f t="shared" si="0"/>
        <v>0</v>
      </c>
      <c r="G52" s="7">
        <f t="shared" si="1"/>
        <v>0</v>
      </c>
      <c r="H52" s="7">
        <f t="shared" si="1"/>
        <v>0</v>
      </c>
      <c r="I52" s="7">
        <f t="shared" si="1"/>
        <v>0</v>
      </c>
      <c r="J52" s="7">
        <f t="shared" si="1"/>
        <v>0</v>
      </c>
      <c r="K52" s="7">
        <f t="shared" si="1"/>
        <v>0</v>
      </c>
      <c r="L52" s="7">
        <f t="shared" ref="L52:M52" si="8" xml:space="preserve"> (L7-L7)/14.52</f>
        <v>0</v>
      </c>
      <c r="M52" s="7">
        <f t="shared" si="8"/>
        <v>0</v>
      </c>
      <c r="N52" s="7">
        <f t="shared" ref="N52:O52" si="9" xml:space="preserve"> (N7-N7)/14.52</f>
        <v>0</v>
      </c>
      <c r="O52" s="7">
        <f t="shared" si="9"/>
        <v>0</v>
      </c>
      <c r="P52" s="7"/>
    </row>
    <row r="53" spans="1:16" x14ac:dyDescent="0.2">
      <c r="A53" s="4">
        <v>5</v>
      </c>
      <c r="B53" s="5">
        <v>0</v>
      </c>
      <c r="C53" s="7">
        <f t="shared" si="0"/>
        <v>0</v>
      </c>
      <c r="D53" s="7">
        <f t="shared" si="0"/>
        <v>0</v>
      </c>
      <c r="E53" s="7">
        <f t="shared" si="0"/>
        <v>0</v>
      </c>
      <c r="F53" s="7">
        <f t="shared" si="0"/>
        <v>0</v>
      </c>
      <c r="G53" s="7">
        <f t="shared" si="1"/>
        <v>0</v>
      </c>
      <c r="H53" s="7">
        <f t="shared" si="1"/>
        <v>0</v>
      </c>
      <c r="I53" s="7">
        <f t="shared" si="1"/>
        <v>0</v>
      </c>
      <c r="J53" s="7">
        <f t="shared" si="1"/>
        <v>0</v>
      </c>
      <c r="K53" s="7">
        <f t="shared" si="1"/>
        <v>0</v>
      </c>
      <c r="L53" s="7">
        <f t="shared" ref="L53:M53" si="10" xml:space="preserve"> (L8-L8)/14.52</f>
        <v>0</v>
      </c>
      <c r="M53" s="7">
        <f t="shared" si="10"/>
        <v>0</v>
      </c>
      <c r="N53" s="7">
        <f t="shared" ref="N53:O53" si="11" xml:space="preserve"> (N8-N8)/14.52</f>
        <v>0</v>
      </c>
      <c r="O53" s="7">
        <f t="shared" si="11"/>
        <v>0</v>
      </c>
      <c r="P53" s="7"/>
    </row>
    <row r="54" spans="1:16" x14ac:dyDescent="0.2">
      <c r="A54" s="4"/>
      <c r="B54" s="5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 x14ac:dyDescent="0.2">
      <c r="A55" s="4">
        <v>1</v>
      </c>
      <c r="B55" s="5">
        <v>10</v>
      </c>
      <c r="C55" s="7">
        <f t="shared" ref="C55:K55" si="12" xml:space="preserve"> (C10-C4)/14.52</f>
        <v>3.6501377410468354E-3</v>
      </c>
      <c r="D55" s="7">
        <f t="shared" si="12"/>
        <v>2.1763085399449041E-2</v>
      </c>
      <c r="E55" s="7">
        <f t="shared" si="12"/>
        <v>9.7796143250688718E-3</v>
      </c>
      <c r="F55" s="7">
        <f t="shared" si="12"/>
        <v>1.8595041322314028E-3</v>
      </c>
      <c r="G55" s="7">
        <f t="shared" si="12"/>
        <v>1.7217630853994467E-3</v>
      </c>
      <c r="H55" s="7">
        <f t="shared" si="12"/>
        <v>3.168044077134989E-3</v>
      </c>
      <c r="I55" s="7">
        <f t="shared" si="12"/>
        <v>2.2727272727272748E-3</v>
      </c>
      <c r="J55" s="7">
        <f t="shared" si="12"/>
        <v>2.8236914600550992E-3</v>
      </c>
      <c r="K55" s="7">
        <f t="shared" si="12"/>
        <v>1.9972451790633626E-3</v>
      </c>
      <c r="L55" s="7">
        <f t="shared" ref="L55:M55" si="13" xml:space="preserve"> (L10-L4)/14.52</f>
        <v>3.2369146005509631E-3</v>
      </c>
      <c r="M55" s="7">
        <f t="shared" si="13"/>
        <v>3.3057851239669451E-3</v>
      </c>
      <c r="N55" s="7">
        <f t="shared" ref="N55:O55" si="14" xml:space="preserve"> (N10-N4)/14.52</f>
        <v>4.6143250688705237E-3</v>
      </c>
      <c r="O55" s="7">
        <f t="shared" si="14"/>
        <v>3.9256198347107432E-3</v>
      </c>
      <c r="P55" s="7"/>
    </row>
    <row r="56" spans="1:16" x14ac:dyDescent="0.2">
      <c r="A56" s="4">
        <v>2</v>
      </c>
      <c r="B56" s="5">
        <v>10</v>
      </c>
      <c r="C56" s="7">
        <f t="shared" ref="C56:D59" si="15" xml:space="preserve"> (C11-C5)/14.52</f>
        <v>3.9256198347107432E-3</v>
      </c>
      <c r="D56" s="7">
        <f t="shared" si="15"/>
        <v>9.0909090909090922E-3</v>
      </c>
      <c r="E56" s="7">
        <f t="shared" ref="E56:F56" si="16" xml:space="preserve"> (E11-E5)/14.52</f>
        <v>4.6143250688705237E-3</v>
      </c>
      <c r="F56" s="7">
        <f t="shared" si="16"/>
        <v>1.7217630853994467E-3</v>
      </c>
      <c r="G56" s="7">
        <f t="shared" ref="G56:K59" si="17" xml:space="preserve"> (G11-G5)/14.52</f>
        <v>1.4462809917355347E-3</v>
      </c>
      <c r="H56" s="7">
        <f t="shared" si="17"/>
        <v>3.6501377410468315E-3</v>
      </c>
      <c r="I56" s="7">
        <f t="shared" si="17"/>
        <v>2.1349862258953187E-3</v>
      </c>
      <c r="J56" s="7">
        <f t="shared" si="17"/>
        <v>2.6859504132231431E-3</v>
      </c>
      <c r="K56" s="7">
        <f t="shared" si="17"/>
        <v>1.8595041322314067E-3</v>
      </c>
      <c r="L56" s="7">
        <f t="shared" ref="L56:M56" si="18" xml:space="preserve"> (L11-L5)/14.52</f>
        <v>3.3746556473829232E-3</v>
      </c>
      <c r="M56" s="7">
        <f t="shared" si="18"/>
        <v>3.3746556473829192E-3</v>
      </c>
      <c r="N56" s="7">
        <f t="shared" ref="N56:O56" si="19" xml:space="preserve"> (N11-N5)/14.52</f>
        <v>4.2699724517906339E-3</v>
      </c>
      <c r="O56" s="7">
        <f t="shared" si="19"/>
        <v>3.9944903581267217E-3</v>
      </c>
      <c r="P56" s="7"/>
    </row>
    <row r="57" spans="1:16" x14ac:dyDescent="0.2">
      <c r="A57" s="4">
        <v>3</v>
      </c>
      <c r="B57" s="5">
        <v>10</v>
      </c>
      <c r="C57" s="7">
        <f t="shared" si="15"/>
        <v>3.7878787878787876E-3</v>
      </c>
      <c r="D57" s="7">
        <f t="shared" si="15"/>
        <v>5.9228650137741062E-3</v>
      </c>
      <c r="E57" s="7">
        <f t="shared" ref="E57:F57" si="20" xml:space="preserve"> (E12-E6)/14.52</f>
        <v>4.8209366391184583E-3</v>
      </c>
      <c r="F57" s="7">
        <f t="shared" si="20"/>
        <v>1.9283746556473808E-3</v>
      </c>
      <c r="G57" s="7">
        <f t="shared" si="17"/>
        <v>1.4462809917355347E-3</v>
      </c>
      <c r="H57" s="7">
        <f t="shared" si="17"/>
        <v>2.2727272727272748E-3</v>
      </c>
      <c r="I57" s="7">
        <f t="shared" si="17"/>
        <v>2.3415977961432528E-3</v>
      </c>
      <c r="J57" s="7">
        <f xml:space="preserve"> (J12-J6)/14.52</f>
        <v>2.8236914600550992E-3</v>
      </c>
      <c r="K57" s="7">
        <f t="shared" si="17"/>
        <v>1.5840220385674945E-3</v>
      </c>
      <c r="L57" s="7">
        <f t="shared" ref="L57:M57" si="21" xml:space="preserve"> (L12-L6)/14.52</f>
        <v>3.1680440771349851E-3</v>
      </c>
      <c r="M57" s="7">
        <f t="shared" si="21"/>
        <v>3.7190082644628095E-3</v>
      </c>
      <c r="N57" s="7">
        <f t="shared" ref="N57:O57" si="22" xml:space="preserve"> (N12-N6)/14.52</f>
        <v>4.1322314049586778E-3</v>
      </c>
      <c r="O57" s="7">
        <f t="shared" si="22"/>
        <v>4.2011019283746554E-3</v>
      </c>
      <c r="P57" s="7"/>
    </row>
    <row r="58" spans="1:16" x14ac:dyDescent="0.2">
      <c r="A58" s="4">
        <v>4</v>
      </c>
      <c r="B58" s="5">
        <v>10</v>
      </c>
      <c r="C58" s="7">
        <f t="shared" si="15"/>
        <v>3.6501377410468315E-3</v>
      </c>
      <c r="D58" s="7">
        <f t="shared" si="15"/>
        <v>2.2038567493112952E-2</v>
      </c>
      <c r="E58" s="7">
        <f t="shared" ref="E58:F58" si="23" xml:space="preserve"> (E13-E7)/14.52</f>
        <v>4.9586776859504135E-3</v>
      </c>
      <c r="F58" s="7">
        <f t="shared" si="23"/>
        <v>1.8595041322314067E-3</v>
      </c>
      <c r="G58" s="7">
        <f t="shared" si="17"/>
        <v>1.9283746556473808E-3</v>
      </c>
      <c r="H58" s="7">
        <f t="shared" si="17"/>
        <v>2.8925619834710772E-3</v>
      </c>
      <c r="I58" s="7">
        <f t="shared" si="17"/>
        <v>2.2038567493112967E-3</v>
      </c>
      <c r="J58" s="7">
        <f t="shared" si="17"/>
        <v>2.2038567493112967E-3</v>
      </c>
      <c r="K58" s="7">
        <f t="shared" si="17"/>
        <v>1.7217630853994506E-3</v>
      </c>
      <c r="L58" s="7">
        <f t="shared" ref="L58:M58" si="24" xml:space="preserve"> (L13-L7)/14.52</f>
        <v>3.5123966942148753E-3</v>
      </c>
      <c r="M58" s="7">
        <f t="shared" si="24"/>
        <v>3.5123966942148753E-3</v>
      </c>
      <c r="N58" s="7">
        <f t="shared" ref="N58:O58" si="25" xml:space="preserve"> (N13-N7)/14.52</f>
        <v>3.9944903581267217E-3</v>
      </c>
      <c r="O58" s="7">
        <f t="shared" si="25"/>
        <v>4.0633608815426993E-3</v>
      </c>
      <c r="P58" s="7"/>
    </row>
    <row r="59" spans="1:16" x14ac:dyDescent="0.2">
      <c r="A59" s="4">
        <v>5</v>
      </c>
      <c r="B59" s="5">
        <v>10</v>
      </c>
      <c r="C59" s="7">
        <f t="shared" si="15"/>
        <v>4.0633608815426993E-3</v>
      </c>
      <c r="D59" s="7">
        <f t="shared" si="15"/>
        <v>1.0537190082644626E-2</v>
      </c>
      <c r="E59" s="7">
        <f t="shared" ref="E59:F59" si="26" xml:space="preserve"> (E14-E8)/14.52</f>
        <v>4.7520661157024798E-3</v>
      </c>
      <c r="F59" s="7">
        <f t="shared" si="26"/>
        <v>1.7906336088154247E-3</v>
      </c>
      <c r="G59" s="7">
        <f t="shared" si="17"/>
        <v>1.8595041322314028E-3</v>
      </c>
      <c r="H59" s="7">
        <f t="shared" si="17"/>
        <v>1.5151515151515165E-3</v>
      </c>
      <c r="I59" s="7">
        <f t="shared" si="17"/>
        <v>2.6170798898071611E-3</v>
      </c>
      <c r="J59" s="7">
        <f t="shared" si="17"/>
        <v>1.9972451790633626E-3</v>
      </c>
      <c r="K59" s="7">
        <f t="shared" si="17"/>
        <v>1.5840220385674945E-3</v>
      </c>
      <c r="L59" s="7">
        <f t="shared" ref="L59:M59" si="27" xml:space="preserve"> (L14-L8)/14.52</f>
        <v>3.4435261707988973E-3</v>
      </c>
      <c r="M59" s="7">
        <f t="shared" si="27"/>
        <v>3.5123966942148753E-3</v>
      </c>
      <c r="N59" s="7">
        <f t="shared" ref="N59:O59" si="28" xml:space="preserve"> (N14-N8)/14.52</f>
        <v>4.2699724517906339E-3</v>
      </c>
      <c r="O59" s="7">
        <f t="shared" si="28"/>
        <v>3.7190082644628095E-3</v>
      </c>
      <c r="P59" s="7"/>
    </row>
    <row r="60" spans="1:16" x14ac:dyDescent="0.2">
      <c r="A60" s="4"/>
      <c r="B60" s="5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 x14ac:dyDescent="0.2">
      <c r="A61" s="4">
        <v>1</v>
      </c>
      <c r="B61" s="5">
        <v>20</v>
      </c>
      <c r="C61" s="7">
        <f t="shared" ref="C61:F65" si="29" xml:space="preserve"> (C16-C4)/14.52</f>
        <v>4.6143250688705237E-3</v>
      </c>
      <c r="D61" s="7">
        <f t="shared" si="29"/>
        <v>2.2796143250688711E-2</v>
      </c>
      <c r="E61" s="7">
        <f t="shared" si="29"/>
        <v>1.15702479338843E-2</v>
      </c>
      <c r="F61" s="7">
        <f t="shared" si="29"/>
        <v>2.410468319559227E-3</v>
      </c>
      <c r="G61" s="7">
        <f t="shared" ref="G61:K65" si="30" xml:space="preserve"> (G16-G4)/14.52</f>
        <v>2.2727272727272709E-3</v>
      </c>
      <c r="H61" s="7">
        <f t="shared" si="30"/>
        <v>3.4435261707988973E-3</v>
      </c>
      <c r="I61" s="7">
        <f t="shared" si="30"/>
        <v>2.6859504132231431E-3</v>
      </c>
      <c r="J61" s="7">
        <f t="shared" si="30"/>
        <v>3.0303030303030329E-3</v>
      </c>
      <c r="K61" s="7">
        <f t="shared" si="30"/>
        <v>2.4793388429752089E-3</v>
      </c>
      <c r="L61" s="7">
        <f t="shared" ref="L61:M61" si="31" xml:space="preserve"> (L16-L4)/14.52</f>
        <v>3.7190082644628095E-3</v>
      </c>
      <c r="M61" s="7">
        <f t="shared" si="31"/>
        <v>4.0633608815427037E-3</v>
      </c>
      <c r="N61" s="7">
        <f t="shared" ref="N61:O61" si="32" xml:space="preserve"> (N16-N4)/14.52</f>
        <v>5.0964187327823662E-3</v>
      </c>
      <c r="O61" s="7">
        <f t="shared" si="32"/>
        <v>4.6831955922865022E-3</v>
      </c>
      <c r="P61" s="7"/>
    </row>
    <row r="62" spans="1:16" x14ac:dyDescent="0.2">
      <c r="A62" s="4">
        <v>2</v>
      </c>
      <c r="B62" s="5">
        <v>20</v>
      </c>
      <c r="C62" s="7">
        <f t="shared" si="29"/>
        <v>4.5454545454545461E-3</v>
      </c>
      <c r="D62" s="7">
        <f t="shared" si="29"/>
        <v>1.0881542699724521E-2</v>
      </c>
      <c r="E62" s="7">
        <f t="shared" si="29"/>
        <v>4.4765840220385676E-3</v>
      </c>
      <c r="F62" s="7">
        <f t="shared" si="29"/>
        <v>2.2038567493112928E-3</v>
      </c>
      <c r="G62" s="7">
        <f t="shared" si="30"/>
        <v>2.2038567493112928E-3</v>
      </c>
      <c r="H62" s="7">
        <f t="shared" si="30"/>
        <v>3.5812672176308534E-3</v>
      </c>
      <c r="I62" s="7">
        <f t="shared" si="30"/>
        <v>2.410468319559227E-3</v>
      </c>
      <c r="J62" s="7">
        <f t="shared" si="30"/>
        <v>2.9614325068870549E-3</v>
      </c>
      <c r="K62" s="7">
        <f t="shared" si="30"/>
        <v>2.617079889807165E-3</v>
      </c>
      <c r="L62" s="7">
        <f t="shared" ref="L62:M62" si="33" xml:space="preserve"> (L17-L5)/14.52</f>
        <v>4.2011019283746554E-3</v>
      </c>
      <c r="M62" s="7">
        <f t="shared" si="33"/>
        <v>3.9256198347107432E-3</v>
      </c>
      <c r="N62" s="7">
        <f t="shared" ref="N62:O62" si="34" xml:space="preserve"> (N17-N5)/14.52</f>
        <v>5.0964187327823696E-3</v>
      </c>
      <c r="O62" s="7">
        <f t="shared" si="34"/>
        <v>4.6143250688705237E-3</v>
      </c>
      <c r="P62" s="7"/>
    </row>
    <row r="63" spans="1:16" x14ac:dyDescent="0.2">
      <c r="A63" s="4">
        <v>3</v>
      </c>
      <c r="B63" s="5">
        <v>20</v>
      </c>
      <c r="C63" s="7">
        <f t="shared" si="29"/>
        <v>4.7520661157024798E-3</v>
      </c>
      <c r="D63" s="7">
        <f t="shared" si="29"/>
        <v>8.0578512396694245E-3</v>
      </c>
      <c r="E63" s="7">
        <f t="shared" si="29"/>
        <v>5.0964187327823696E-3</v>
      </c>
      <c r="F63" s="7">
        <f t="shared" si="29"/>
        <v>2.6859504132231392E-3</v>
      </c>
      <c r="G63" s="7">
        <f t="shared" si="30"/>
        <v>1.8595041322314028E-3</v>
      </c>
      <c r="H63" s="7">
        <f t="shared" si="30"/>
        <v>2.8925619834710772E-3</v>
      </c>
      <c r="I63" s="7">
        <f t="shared" si="30"/>
        <v>2.6859504132231431E-3</v>
      </c>
      <c r="J63" s="7">
        <f t="shared" si="30"/>
        <v>2.4793388429752089E-3</v>
      </c>
      <c r="K63" s="7">
        <f t="shared" si="30"/>
        <v>2.2727272727272748E-3</v>
      </c>
      <c r="L63" s="7">
        <f t="shared" ref="L63:M63" si="35" xml:space="preserve"> (L18-L6)/14.52</f>
        <v>3.9944903581267217E-3</v>
      </c>
      <c r="M63" s="7">
        <f t="shared" si="35"/>
        <v>4.0633608815426993E-3</v>
      </c>
      <c r="N63" s="7">
        <f t="shared" ref="N63:O63" si="36" xml:space="preserve"> (N18-N6)/14.52</f>
        <v>4.7520661157024798E-3</v>
      </c>
      <c r="O63" s="7">
        <f t="shared" si="36"/>
        <v>4.7520661157024798E-3</v>
      </c>
      <c r="P63" s="7"/>
    </row>
    <row r="64" spans="1:16" x14ac:dyDescent="0.2">
      <c r="A64" s="4">
        <v>4</v>
      </c>
      <c r="B64" s="5">
        <v>20</v>
      </c>
      <c r="C64" s="7">
        <f t="shared" si="29"/>
        <v>4.6143250688705237E-3</v>
      </c>
      <c r="D64" s="7">
        <f t="shared" si="29"/>
        <v>2.2727272727272724E-2</v>
      </c>
      <c r="E64" s="7">
        <f t="shared" si="29"/>
        <v>6.0606060606060623E-3</v>
      </c>
      <c r="F64" s="7">
        <f t="shared" si="29"/>
        <v>2.8925619834710733E-3</v>
      </c>
      <c r="G64" s="7">
        <f t="shared" si="30"/>
        <v>2.3415977961432489E-3</v>
      </c>
      <c r="H64" s="7">
        <f t="shared" si="30"/>
        <v>3.4435261707988973E-3</v>
      </c>
      <c r="I64" s="7">
        <f t="shared" si="30"/>
        <v>2.4793388429752089E-3</v>
      </c>
      <c r="J64" s="7">
        <f t="shared" si="30"/>
        <v>2.4104683195592309E-3</v>
      </c>
      <c r="K64" s="7">
        <f t="shared" si="30"/>
        <v>2.617079889807165E-3</v>
      </c>
      <c r="L64" s="7">
        <f t="shared" ref="L64:M64" si="37" xml:space="preserve"> (L19-L7)/14.52</f>
        <v>3.9256198347107432E-3</v>
      </c>
      <c r="M64" s="7">
        <f t="shared" si="37"/>
        <v>4.1322314049586778E-3</v>
      </c>
      <c r="N64" s="7">
        <f t="shared" ref="N64:O64" si="38" xml:space="preserve"> (N19-N7)/14.52</f>
        <v>5.0275482093663885E-3</v>
      </c>
      <c r="O64" s="7">
        <f t="shared" si="38"/>
        <v>4.6143250688705237E-3</v>
      </c>
      <c r="P64" s="7"/>
    </row>
    <row r="65" spans="1:16" x14ac:dyDescent="0.2">
      <c r="A65" s="4">
        <v>5</v>
      </c>
      <c r="B65" s="5">
        <v>20</v>
      </c>
      <c r="C65" s="7">
        <f t="shared" si="29"/>
        <v>5.440771349862256E-3</v>
      </c>
      <c r="D65" s="7">
        <f t="shared" si="29"/>
        <v>1.3980716253443527E-2</v>
      </c>
      <c r="E65" s="7">
        <f t="shared" si="29"/>
        <v>5.7162534435261725E-3</v>
      </c>
      <c r="F65" s="7">
        <f t="shared" si="29"/>
        <v>2.5482093663911831E-3</v>
      </c>
      <c r="G65" s="7">
        <f t="shared" si="30"/>
        <v>2.2727272727272709E-3</v>
      </c>
      <c r="H65" s="7">
        <f t="shared" si="30"/>
        <v>1.8595041322314067E-3</v>
      </c>
      <c r="I65" s="7">
        <f t="shared" si="30"/>
        <v>2.6859504132231392E-3</v>
      </c>
      <c r="J65" s="7">
        <f t="shared" si="30"/>
        <v>2.4104683195592309E-3</v>
      </c>
      <c r="K65" s="7">
        <f t="shared" si="30"/>
        <v>2.6859504132231431E-3</v>
      </c>
      <c r="L65" s="7">
        <f t="shared" ref="L65:M65" si="39" xml:space="preserve"> (L20-L8)/14.52</f>
        <v>3.8567493112947656E-3</v>
      </c>
      <c r="M65" s="7">
        <f t="shared" si="39"/>
        <v>4.0633608815426993E-3</v>
      </c>
      <c r="N65" s="7">
        <f t="shared" ref="N65:O65" si="40" xml:space="preserve"> (N20-N8)/14.52</f>
        <v>4.9586776859504135E-3</v>
      </c>
      <c r="O65" s="7">
        <f t="shared" si="40"/>
        <v>4.4765840220385676E-3</v>
      </c>
      <c r="P65" s="7"/>
    </row>
    <row r="66" spans="1:16" x14ac:dyDescent="0.2">
      <c r="A66" s="4"/>
      <c r="B66" s="5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1:16" x14ac:dyDescent="0.2">
      <c r="A67" s="4">
        <v>1</v>
      </c>
      <c r="B67" s="5">
        <v>30</v>
      </c>
      <c r="C67" s="7">
        <f t="shared" ref="C67:K67" si="41" xml:space="preserve"> (C22-C4)/14.52</f>
        <v>5.2341597796143257E-3</v>
      </c>
      <c r="D67" s="7">
        <f t="shared" si="41"/>
        <v>2.2451790633608821E-2</v>
      </c>
      <c r="E67" s="7">
        <f t="shared" si="41"/>
        <v>1.3498622589531686E-2</v>
      </c>
      <c r="F67" s="7">
        <f t="shared" si="41"/>
        <v>2.3415977961432489E-3</v>
      </c>
      <c r="G67" s="7">
        <f t="shared" si="41"/>
        <v>2.6170798898071611E-3</v>
      </c>
      <c r="H67" s="7">
        <f t="shared" si="41"/>
        <v>3.5812672176308534E-3</v>
      </c>
      <c r="I67" s="7">
        <f t="shared" si="41"/>
        <v>2.8236914600550992E-3</v>
      </c>
      <c r="J67" s="7">
        <f t="shared" si="41"/>
        <v>3.099173553719011E-3</v>
      </c>
      <c r="K67" s="7">
        <f t="shared" si="41"/>
        <v>2.548209366391187E-3</v>
      </c>
      <c r="L67" s="7">
        <f t="shared" ref="L67:M67" si="42" xml:space="preserve"> (L22-L4)/14.52</f>
        <v>4.0633608815426993E-3</v>
      </c>
      <c r="M67" s="7">
        <f t="shared" si="42"/>
        <v>4.3388429752066115E-3</v>
      </c>
      <c r="N67" s="7">
        <f t="shared" ref="N67:O67" si="43" xml:space="preserve"> (N22-N4)/14.52</f>
        <v>5.7162534435261682E-3</v>
      </c>
      <c r="O67" s="7">
        <f t="shared" si="43"/>
        <v>5.0964187327823696E-3</v>
      </c>
      <c r="P67" s="7"/>
    </row>
    <row r="68" spans="1:16" x14ac:dyDescent="0.2">
      <c r="A68" s="4">
        <v>2</v>
      </c>
      <c r="B68" s="5">
        <v>30</v>
      </c>
      <c r="C68" s="7">
        <f t="shared" ref="C68:D71" si="44" xml:space="preserve"> (C23-C5)/14.52</f>
        <v>5.2341597796143223E-3</v>
      </c>
      <c r="D68" s="7">
        <f t="shared" si="44"/>
        <v>1.2878787878787884E-2</v>
      </c>
      <c r="E68" s="7">
        <f t="shared" ref="E68:F68" si="45" xml:space="preserve"> (E23-E5)/14.52</f>
        <v>5.9917355371900847E-3</v>
      </c>
      <c r="F68" s="7">
        <f t="shared" si="45"/>
        <v>2.410468319559227E-3</v>
      </c>
      <c r="G68" s="7">
        <f t="shared" ref="G68:K71" si="46" xml:space="preserve"> (G23-G5)/14.52</f>
        <v>2.410468319559227E-3</v>
      </c>
      <c r="H68" s="7">
        <f t="shared" si="46"/>
        <v>3.7190082644628095E-3</v>
      </c>
      <c r="I68" s="7">
        <f t="shared" si="46"/>
        <v>2.6170798898071611E-3</v>
      </c>
      <c r="J68" s="7">
        <f t="shared" si="46"/>
        <v>2.7548209366391211E-3</v>
      </c>
      <c r="K68" s="7">
        <f t="shared" si="46"/>
        <v>2.617079889807165E-3</v>
      </c>
      <c r="L68" s="7">
        <f t="shared" ref="L68:M68" si="47" xml:space="preserve"> (L23-L5)/14.52</f>
        <v>4.4765840220385676E-3</v>
      </c>
      <c r="M68" s="7">
        <f t="shared" si="47"/>
        <v>4.7520661157024763E-3</v>
      </c>
      <c r="N68" s="7">
        <f t="shared" ref="N68:O68" si="48" xml:space="preserve"> (N23-N5)/14.52</f>
        <v>5.5096418732782379E-3</v>
      </c>
      <c r="O68" s="7">
        <f t="shared" si="48"/>
        <v>5.027548209366392E-3</v>
      </c>
      <c r="P68" s="7"/>
    </row>
    <row r="69" spans="1:16" x14ac:dyDescent="0.2">
      <c r="A69" s="4">
        <v>3</v>
      </c>
      <c r="B69" s="5">
        <v>30</v>
      </c>
      <c r="C69" s="7">
        <f t="shared" si="44"/>
        <v>5.440771349862256E-3</v>
      </c>
      <c r="D69" s="7">
        <f t="shared" si="44"/>
        <v>9.5730027548209373E-3</v>
      </c>
      <c r="E69" s="7">
        <f t="shared" ref="E69:F69" si="49" xml:space="preserve"> (E24-E6)/14.52</f>
        <v>6.6804407713498644E-3</v>
      </c>
      <c r="F69" s="7">
        <f t="shared" si="49"/>
        <v>2.8236914600550953E-3</v>
      </c>
      <c r="G69" s="7">
        <f t="shared" si="46"/>
        <v>2.0661157024793367E-3</v>
      </c>
      <c r="H69" s="7">
        <f t="shared" si="46"/>
        <v>3.099173553719011E-3</v>
      </c>
      <c r="I69" s="7">
        <f t="shared" si="46"/>
        <v>2.9614325068870514E-3</v>
      </c>
      <c r="J69" s="7">
        <f t="shared" si="46"/>
        <v>3.0303030303030329E-3</v>
      </c>
      <c r="K69" s="7">
        <f t="shared" si="46"/>
        <v>1.9972451790633626E-3</v>
      </c>
      <c r="L69" s="7">
        <f t="shared" ref="L69:M69" si="50" xml:space="preserve"> (L24-L6)/14.52</f>
        <v>4.8209366391184583E-3</v>
      </c>
      <c r="M69" s="7">
        <f t="shared" si="50"/>
        <v>4.5454545454545461E-3</v>
      </c>
      <c r="N69" s="7">
        <f t="shared" ref="N69:O69" si="51" xml:space="preserve"> (N24-N6)/14.52</f>
        <v>5.3030303030302999E-3</v>
      </c>
      <c r="O69" s="7">
        <f t="shared" si="51"/>
        <v>5.1652892561983481E-3</v>
      </c>
      <c r="P69" s="7"/>
    </row>
    <row r="70" spans="1:16" x14ac:dyDescent="0.2">
      <c r="A70" s="4">
        <v>4</v>
      </c>
      <c r="B70" s="5">
        <v>30</v>
      </c>
      <c r="C70" s="7">
        <f t="shared" si="44"/>
        <v>5.2341597796143223E-3</v>
      </c>
      <c r="D70" s="7">
        <f t="shared" si="44"/>
        <v>2.2589531680440776E-2</v>
      </c>
      <c r="E70" s="7">
        <f t="shared" ref="E70:F70" si="52" xml:space="preserve"> (E25-E7)/14.52</f>
        <v>7.3002754820936664E-3</v>
      </c>
      <c r="F70" s="7">
        <f t="shared" si="52"/>
        <v>3.0303030303030294E-3</v>
      </c>
      <c r="G70" s="7">
        <f t="shared" si="46"/>
        <v>2.7548209366391172E-3</v>
      </c>
      <c r="H70" s="7">
        <f t="shared" si="46"/>
        <v>3.3746556473829192E-3</v>
      </c>
      <c r="I70" s="7">
        <f t="shared" si="46"/>
        <v>2.617079889807165E-3</v>
      </c>
      <c r="J70" s="7">
        <f t="shared" si="46"/>
        <v>2.548209366391187E-3</v>
      </c>
      <c r="K70" s="7">
        <f t="shared" si="46"/>
        <v>2.1349862258953187E-3</v>
      </c>
      <c r="L70" s="7">
        <f t="shared" ref="L70:M70" si="53" xml:space="preserve"> (L25-L7)/14.52</f>
        <v>4.0633608815426993E-3</v>
      </c>
      <c r="M70" s="7">
        <f t="shared" si="53"/>
        <v>4.6831955922865022E-3</v>
      </c>
      <c r="N70" s="7">
        <f t="shared" ref="N70:O70" si="54" xml:space="preserve"> (N25-N7)/14.52</f>
        <v>5.7162534435261682E-3</v>
      </c>
      <c r="O70" s="7">
        <f t="shared" si="54"/>
        <v>4.8898071625344359E-3</v>
      </c>
      <c r="P70" s="7"/>
    </row>
    <row r="71" spans="1:16" x14ac:dyDescent="0.2">
      <c r="A71" s="4">
        <v>5</v>
      </c>
      <c r="B71" s="5">
        <v>30</v>
      </c>
      <c r="C71" s="7">
        <f t="shared" si="44"/>
        <v>6.4738292011019263E-3</v>
      </c>
      <c r="D71" s="7">
        <f t="shared" si="44"/>
        <v>1.6528925619834708E-2</v>
      </c>
      <c r="E71" s="7">
        <f t="shared" ref="E71:F71" si="55" xml:space="preserve"> (E26-E8)/14.52</f>
        <v>6.8181818181818205E-3</v>
      </c>
      <c r="F71" s="7">
        <f t="shared" si="55"/>
        <v>2.6170798898071611E-3</v>
      </c>
      <c r="G71" s="7">
        <f t="shared" si="46"/>
        <v>2.7548209366391172E-3</v>
      </c>
      <c r="H71" s="7">
        <f t="shared" si="46"/>
        <v>1.5151515151515165E-3</v>
      </c>
      <c r="I71" s="7">
        <f t="shared" si="46"/>
        <v>2.7548209366391172E-3</v>
      </c>
      <c r="J71" s="7">
        <f t="shared" si="46"/>
        <v>2.6859504132231431E-3</v>
      </c>
      <c r="K71" s="7">
        <f t="shared" si="46"/>
        <v>2.6859504132231431E-3</v>
      </c>
      <c r="L71" s="7">
        <f t="shared" ref="L71:M71" si="56" xml:space="preserve"> (L26-L8)/14.52</f>
        <v>4.2011019283746554E-3</v>
      </c>
      <c r="M71" s="7">
        <f t="shared" si="56"/>
        <v>4.40771349862259E-3</v>
      </c>
      <c r="N71" s="7">
        <f t="shared" ref="N71:O71" si="57" xml:space="preserve"> (N26-N8)/14.52</f>
        <v>5.9917355371900804E-3</v>
      </c>
      <c r="O71" s="7">
        <f t="shared" si="57"/>
        <v>4.6831955922865022E-3</v>
      </c>
      <c r="P71" s="7"/>
    </row>
    <row r="72" spans="1:16" x14ac:dyDescent="0.2">
      <c r="A72" s="4"/>
      <c r="B72" s="5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spans="1:16" x14ac:dyDescent="0.2">
      <c r="A73" s="4">
        <v>1</v>
      </c>
      <c r="B73" s="5">
        <v>40</v>
      </c>
      <c r="C73" s="7">
        <f t="shared" ref="C73:K73" si="58" xml:space="preserve"> (C28-C4)/14.52</f>
        <v>5.9917355371900847E-3</v>
      </c>
      <c r="D73" s="7">
        <f t="shared" si="58"/>
        <v>2.3347107438016535E-2</v>
      </c>
      <c r="E73" s="7">
        <f t="shared" si="58"/>
        <v>1.3980716253443531E-2</v>
      </c>
      <c r="F73" s="7">
        <f t="shared" si="58"/>
        <v>2.6859504132231392E-3</v>
      </c>
      <c r="G73" s="7">
        <f t="shared" si="58"/>
        <v>2.7548209366391172E-3</v>
      </c>
      <c r="H73" s="7">
        <f t="shared" si="58"/>
        <v>3.3057851239669412E-3</v>
      </c>
      <c r="I73" s="7">
        <f t="shared" si="58"/>
        <v>2.8236914600550992E-3</v>
      </c>
      <c r="J73" s="7">
        <f t="shared" si="58"/>
        <v>2.9614325068870549E-3</v>
      </c>
      <c r="K73" s="7">
        <f t="shared" si="58"/>
        <v>2.8236914600550992E-3</v>
      </c>
      <c r="L73" s="7">
        <f t="shared" ref="L73:M73" si="59" xml:space="preserve"> (L28-L4)/14.52</f>
        <v>4.2699724517906339E-3</v>
      </c>
      <c r="M73" s="7">
        <f t="shared" si="59"/>
        <v>4.9586776859504135E-3</v>
      </c>
      <c r="N73" s="7">
        <f t="shared" ref="N73:O73" si="60" xml:space="preserve"> (N28-N4)/14.52</f>
        <v>6.5426997245179048E-3</v>
      </c>
      <c r="O73" s="7">
        <f t="shared" si="60"/>
        <v>5.7162534435261682E-3</v>
      </c>
      <c r="P73" s="7"/>
    </row>
    <row r="74" spans="1:16" x14ac:dyDescent="0.2">
      <c r="A74" s="4">
        <v>2</v>
      </c>
      <c r="B74" s="5">
        <v>40</v>
      </c>
      <c r="C74" s="7">
        <f t="shared" ref="C74:D77" si="61" xml:space="preserve"> (C29-C5)/14.52</f>
        <v>5.9917355371900804E-3</v>
      </c>
      <c r="D74" s="7">
        <f t="shared" si="61"/>
        <v>1.4876033057851245E-2</v>
      </c>
      <c r="E74" s="7">
        <f t="shared" ref="E74:F74" si="62" xml:space="preserve"> (E29-E5)/14.52</f>
        <v>6.12947658402204E-3</v>
      </c>
      <c r="F74" s="7">
        <f t="shared" si="62"/>
        <v>2.6170798898071611E-3</v>
      </c>
      <c r="G74" s="7">
        <f t="shared" ref="G74:K77" si="63" xml:space="preserve"> (G29-G5)/14.52</f>
        <v>2.6170798898071611E-3</v>
      </c>
      <c r="H74" s="7">
        <f t="shared" si="63"/>
        <v>3.9256198347107432E-3</v>
      </c>
      <c r="I74" s="7">
        <f t="shared" si="63"/>
        <v>2.9614325068870514E-3</v>
      </c>
      <c r="J74" s="7">
        <f t="shared" si="63"/>
        <v>2.6859504132231431E-3</v>
      </c>
      <c r="K74" s="7">
        <f t="shared" si="63"/>
        <v>2.8236914600550992E-3</v>
      </c>
      <c r="L74" s="7">
        <f t="shared" ref="L74:M74" si="64" xml:space="preserve"> (L29-L5)/14.52</f>
        <v>4.8209366391184583E-3</v>
      </c>
      <c r="M74" s="7">
        <f t="shared" si="64"/>
        <v>5.3030303030302999E-3</v>
      </c>
      <c r="N74" s="7">
        <f t="shared" ref="N74:O74" si="65" xml:space="preserve"> (N29-N5)/14.52</f>
        <v>5.9917355371900847E-3</v>
      </c>
      <c r="O74" s="7">
        <f t="shared" si="65"/>
        <v>5.4407713498622603E-3</v>
      </c>
      <c r="P74" s="7"/>
    </row>
    <row r="75" spans="1:16" x14ac:dyDescent="0.2">
      <c r="A75" s="4">
        <v>3</v>
      </c>
      <c r="B75" s="5">
        <v>40</v>
      </c>
      <c r="C75" s="7">
        <f t="shared" si="61"/>
        <v>6.4049586776859487E-3</v>
      </c>
      <c r="D75" s="7">
        <f t="shared" si="61"/>
        <v>1.15702479338843E-2</v>
      </c>
      <c r="E75" s="7">
        <f t="shared" ref="E75:F75" si="66" xml:space="preserve"> (E30-E6)/14.52</f>
        <v>7.4380165289256225E-3</v>
      </c>
      <c r="F75" s="7">
        <f t="shared" si="66"/>
        <v>3.0303030303030294E-3</v>
      </c>
      <c r="G75" s="7">
        <f t="shared" si="63"/>
        <v>2.2038567493112928E-3</v>
      </c>
      <c r="H75" s="7">
        <f t="shared" si="63"/>
        <v>2.9614325068870549E-3</v>
      </c>
      <c r="I75" s="7">
        <f t="shared" si="63"/>
        <v>3.0303030303030294E-3</v>
      </c>
      <c r="J75" s="7">
        <f t="shared" si="63"/>
        <v>2.8236914600550992E-3</v>
      </c>
      <c r="K75" s="7">
        <f t="shared" si="63"/>
        <v>2.548209366391187E-3</v>
      </c>
      <c r="L75" s="7">
        <f t="shared" ref="L75:M75" si="67" xml:space="preserve"> (L30-L6)/14.52</f>
        <v>4.4765840220385676E-3</v>
      </c>
      <c r="M75" s="7">
        <f t="shared" si="67"/>
        <v>4.8898071625344324E-3</v>
      </c>
      <c r="N75" s="7">
        <f t="shared" ref="N75:O75" si="68" xml:space="preserve"> (N30-N6)/14.52</f>
        <v>6.198347107438015E-3</v>
      </c>
      <c r="O75" s="7">
        <f t="shared" si="68"/>
        <v>5.7851239669421467E-3</v>
      </c>
      <c r="P75" s="7"/>
    </row>
    <row r="76" spans="1:16" x14ac:dyDescent="0.2">
      <c r="A76" s="4">
        <v>4</v>
      </c>
      <c r="B76" s="5">
        <v>40</v>
      </c>
      <c r="C76" s="7">
        <f t="shared" si="61"/>
        <v>5.9228650137741028E-3</v>
      </c>
      <c r="D76" s="7">
        <f t="shared" si="61"/>
        <v>2.2796143250688704E-2</v>
      </c>
      <c r="E76" s="7">
        <f t="shared" ref="E76:F76" si="69" xml:space="preserve"> (E31-E7)/14.52</f>
        <v>7.506887052341601E-3</v>
      </c>
      <c r="F76" s="7">
        <f t="shared" si="69"/>
        <v>3.3057851239669412E-3</v>
      </c>
      <c r="G76" s="7">
        <f t="shared" si="63"/>
        <v>2.8925619834710733E-3</v>
      </c>
      <c r="H76" s="7">
        <f t="shared" si="63"/>
        <v>3.5812672176308534E-3</v>
      </c>
      <c r="I76" s="7">
        <f t="shared" si="63"/>
        <v>2.8925619834710772E-3</v>
      </c>
      <c r="J76" s="7">
        <f t="shared" si="63"/>
        <v>2.7548209366391211E-3</v>
      </c>
      <c r="K76" s="7">
        <f t="shared" si="63"/>
        <v>2.6859504132231431E-3</v>
      </c>
      <c r="L76" s="7">
        <f t="shared" ref="L76:M76" si="70" xml:space="preserve"> (L31-L7)/14.52</f>
        <v>4.6143250688705237E-3</v>
      </c>
      <c r="M76" s="7">
        <f t="shared" si="70"/>
        <v>4.8898071625344359E-3</v>
      </c>
      <c r="N76" s="7">
        <f t="shared" ref="N76:O76" si="71" xml:space="preserve"> (N31-N7)/14.52</f>
        <v>6.198347107438015E-3</v>
      </c>
      <c r="O76" s="7">
        <f t="shared" si="71"/>
        <v>5.5785123966942164E-3</v>
      </c>
      <c r="P76" s="7"/>
    </row>
    <row r="77" spans="1:16" x14ac:dyDescent="0.2">
      <c r="A77" s="4">
        <v>5</v>
      </c>
      <c r="B77" s="5">
        <v>40</v>
      </c>
      <c r="C77" s="7">
        <f t="shared" si="61"/>
        <v>7.6446280991735527E-3</v>
      </c>
      <c r="D77" s="7">
        <f t="shared" si="61"/>
        <v>1.7286501377410467E-2</v>
      </c>
      <c r="E77" s="7">
        <f t="shared" ref="E77:F77" si="72" xml:space="preserve"> (E32-E8)/14.52</f>
        <v>7.3002754820936664E-3</v>
      </c>
      <c r="F77" s="7">
        <f t="shared" si="72"/>
        <v>2.8925619834710733E-3</v>
      </c>
      <c r="G77" s="7">
        <f t="shared" si="63"/>
        <v>2.9614325068870514E-3</v>
      </c>
      <c r="H77" s="7">
        <f t="shared" si="63"/>
        <v>1.5840220385674945E-3</v>
      </c>
      <c r="I77" s="7">
        <f t="shared" si="63"/>
        <v>3.0991735537190075E-3</v>
      </c>
      <c r="J77" s="7">
        <f t="shared" si="63"/>
        <v>2.7548209366391211E-3</v>
      </c>
      <c r="K77" s="7">
        <f t="shared" si="63"/>
        <v>2.617079889807165E-3</v>
      </c>
      <c r="L77" s="7">
        <f t="shared" ref="L77:M77" si="73" xml:space="preserve"> (L32-L8)/14.52</f>
        <v>4.6143250688705237E-3</v>
      </c>
      <c r="M77" s="7">
        <f t="shared" si="73"/>
        <v>4.8898071625344324E-3</v>
      </c>
      <c r="N77" s="7">
        <f t="shared" ref="N77:O77" si="74" xml:space="preserve"> (N32-N8)/14.52</f>
        <v>6.5426997245179048E-3</v>
      </c>
      <c r="O77" s="7">
        <f t="shared" si="74"/>
        <v>5.6473829201101906E-3</v>
      </c>
      <c r="P77" s="7"/>
    </row>
    <row r="78" spans="1:16" x14ac:dyDescent="0.2">
      <c r="A78" s="4"/>
      <c r="B78" s="5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1:16" x14ac:dyDescent="0.2">
      <c r="A79" s="4">
        <v>1</v>
      </c>
      <c r="B79" s="5">
        <v>50</v>
      </c>
      <c r="C79" s="7">
        <f t="shared" ref="C79:K79" si="75" xml:space="preserve"> (C34-C4)/14.52</f>
        <v>6.5426997245179083E-3</v>
      </c>
      <c r="D79" s="7">
        <f t="shared" si="75"/>
        <v>2.320936639118458E-2</v>
      </c>
      <c r="E79" s="7">
        <f t="shared" si="75"/>
        <v>1.4876033057851238E-2</v>
      </c>
      <c r="F79" s="7">
        <f t="shared" si="75"/>
        <v>2.8236914600550953E-3</v>
      </c>
      <c r="G79" s="7">
        <f t="shared" si="75"/>
        <v>3.0991735537190075E-3</v>
      </c>
      <c r="H79" s="7">
        <f t="shared" si="75"/>
        <v>3.5123966942148753E-3</v>
      </c>
      <c r="I79" s="7">
        <f t="shared" si="75"/>
        <v>2.8925619834710772E-3</v>
      </c>
      <c r="J79" s="7">
        <f t="shared" si="75"/>
        <v>3.0303030303030329E-3</v>
      </c>
      <c r="K79" s="7">
        <f t="shared" si="75"/>
        <v>2.9614325068870549E-3</v>
      </c>
      <c r="L79" s="7">
        <f t="shared" ref="L79:M79" si="76" xml:space="preserve"> (L34-L4)/14.52</f>
        <v>4.8898071625344359E-3</v>
      </c>
      <c r="M79" s="7">
        <f t="shared" si="76"/>
        <v>5.0964187327823696E-3</v>
      </c>
      <c r="N79" s="7">
        <f t="shared" ref="N79:O79" si="77" xml:space="preserve"> (N34-N4)/14.52</f>
        <v>7.2314049586776853E-3</v>
      </c>
      <c r="O79" s="7">
        <f t="shared" si="77"/>
        <v>6.2672176308539926E-3</v>
      </c>
      <c r="P79" s="7"/>
    </row>
    <row r="80" spans="1:16" x14ac:dyDescent="0.2">
      <c r="A80" s="4">
        <v>2</v>
      </c>
      <c r="B80" s="5">
        <v>50</v>
      </c>
      <c r="C80" s="7">
        <f t="shared" ref="C80:D83" si="78" xml:space="preserve"> (C35-C5)/14.52</f>
        <v>7.3002754820936629E-3</v>
      </c>
      <c r="D80" s="7">
        <f t="shared" si="78"/>
        <v>1.7561983471074381E-2</v>
      </c>
      <c r="E80" s="7">
        <f t="shared" ref="E80:F80" si="79" xml:space="preserve"> (E35-E5)/14.52</f>
        <v>6.6804407713498644E-3</v>
      </c>
      <c r="F80" s="7">
        <f t="shared" si="79"/>
        <v>2.6859504132231392E-3</v>
      </c>
      <c r="G80" s="7">
        <f t="shared" ref="G80:K83" si="80" xml:space="preserve"> (G35-G5)/14.52</f>
        <v>2.6859504132231392E-3</v>
      </c>
      <c r="H80" s="7">
        <f t="shared" si="80"/>
        <v>3.5812672176308534E-3</v>
      </c>
      <c r="I80" s="7">
        <f t="shared" si="80"/>
        <v>2.9614325068870514E-3</v>
      </c>
      <c r="J80" s="7">
        <f t="shared" si="80"/>
        <v>2.8236914600550992E-3</v>
      </c>
      <c r="K80" s="7">
        <f t="shared" si="80"/>
        <v>2.9614325068870549E-3</v>
      </c>
      <c r="L80" s="7">
        <f t="shared" ref="L80:M80" si="81" xml:space="preserve"> (L35-L5)/14.52</f>
        <v>5.0964187327823696E-3</v>
      </c>
      <c r="M80" s="7">
        <f t="shared" si="81"/>
        <v>5.7851239669421467E-3</v>
      </c>
      <c r="N80" s="7">
        <f t="shared" ref="N80:O80" si="82" xml:space="preserve"> (N35-N5)/14.52</f>
        <v>7.1625344352617068E-3</v>
      </c>
      <c r="O80" s="7">
        <f t="shared" si="82"/>
        <v>6.818181818181817E-3</v>
      </c>
      <c r="P80" s="7"/>
    </row>
    <row r="81" spans="1:16" x14ac:dyDescent="0.2">
      <c r="A81" s="4">
        <v>3</v>
      </c>
      <c r="B81" s="5">
        <v>50</v>
      </c>
      <c r="C81" s="7">
        <f t="shared" si="78"/>
        <v>7.0247933884297507E-3</v>
      </c>
      <c r="D81" s="7">
        <f t="shared" si="78"/>
        <v>1.3636363636363641E-2</v>
      </c>
      <c r="E81" s="7">
        <f t="shared" ref="E81:F81" si="83" xml:space="preserve"> (E36-E6)/14.52</f>
        <v>7.7823691460055132E-3</v>
      </c>
      <c r="F81" s="7">
        <f t="shared" si="83"/>
        <v>3.0303030303030294E-3</v>
      </c>
      <c r="G81" s="7">
        <f t="shared" si="80"/>
        <v>2.6170798898071611E-3</v>
      </c>
      <c r="H81" s="7">
        <f t="shared" si="80"/>
        <v>3.3746556473829192E-3</v>
      </c>
      <c r="I81" s="7">
        <f t="shared" si="80"/>
        <v>3.0991735537190075E-3</v>
      </c>
      <c r="J81" s="7">
        <f t="shared" si="80"/>
        <v>2.7548209366391211E-3</v>
      </c>
      <c r="K81" s="7">
        <f t="shared" si="80"/>
        <v>2.617079889807165E-3</v>
      </c>
      <c r="L81" s="7">
        <f t="shared" ref="L81:M81" si="84" xml:space="preserve"> (L36-L6)/14.52</f>
        <v>4.6831955922865022E-3</v>
      </c>
      <c r="M81" s="7">
        <f t="shared" si="84"/>
        <v>5.7162534435261682E-3</v>
      </c>
      <c r="N81" s="7">
        <f t="shared" ref="N81:O81" si="85" xml:space="preserve"> (N36-N6)/14.52</f>
        <v>6.6115702479338824E-3</v>
      </c>
      <c r="O81" s="7">
        <f t="shared" si="85"/>
        <v>6.198347107438015E-3</v>
      </c>
      <c r="P81" s="7"/>
    </row>
    <row r="82" spans="1:16" x14ac:dyDescent="0.2">
      <c r="A82" s="4">
        <v>4</v>
      </c>
      <c r="B82" s="5">
        <v>50</v>
      </c>
      <c r="C82" s="7">
        <f t="shared" si="78"/>
        <v>6.8870523415977946E-3</v>
      </c>
      <c r="D82" s="7">
        <f t="shared" si="78"/>
        <v>2.3071625344352614E-2</v>
      </c>
      <c r="E82" s="7">
        <f t="shared" ref="E82:F82" si="86" xml:space="preserve"> (E37-E7)/14.52</f>
        <v>8.402203856749316E-3</v>
      </c>
      <c r="F82" s="7">
        <f t="shared" si="86"/>
        <v>3.3057851239669412E-3</v>
      </c>
      <c r="G82" s="7">
        <f t="shared" si="80"/>
        <v>3.0303030303030294E-3</v>
      </c>
      <c r="H82" s="7">
        <f t="shared" si="80"/>
        <v>3.6501377410468315E-3</v>
      </c>
      <c r="I82" s="7">
        <f t="shared" si="80"/>
        <v>2.9614325068870549E-3</v>
      </c>
      <c r="J82" s="7">
        <f t="shared" si="80"/>
        <v>2.6859504132231431E-3</v>
      </c>
      <c r="K82" s="7">
        <f t="shared" si="80"/>
        <v>2.8236914600550992E-3</v>
      </c>
      <c r="L82" s="7">
        <f t="shared" ref="L82:M82" si="87" xml:space="preserve"> (L37-L7)/14.52</f>
        <v>4.7520661157024763E-3</v>
      </c>
      <c r="M82" s="7">
        <f t="shared" si="87"/>
        <v>5.6473829201101906E-3</v>
      </c>
      <c r="N82" s="7">
        <f t="shared" ref="N82:O82" si="88" xml:space="preserve"> (N37-N7)/14.52</f>
        <v>6.6115702479338824E-3</v>
      </c>
      <c r="O82" s="7">
        <f t="shared" si="88"/>
        <v>5.9228650137741028E-3</v>
      </c>
      <c r="P82" s="7"/>
    </row>
    <row r="83" spans="1:16" x14ac:dyDescent="0.2">
      <c r="A83" s="4">
        <v>5</v>
      </c>
      <c r="B83" s="5">
        <v>50</v>
      </c>
      <c r="C83" s="7">
        <f t="shared" si="78"/>
        <v>7.9201101928374658E-3</v>
      </c>
      <c r="D83" s="7">
        <f t="shared" si="78"/>
        <v>1.7837465564738288E-2</v>
      </c>
      <c r="E83" s="7">
        <f t="shared" ref="E83:F83" si="89" xml:space="preserve"> (E38-E8)/14.52</f>
        <v>7.7823691460055132E-3</v>
      </c>
      <c r="F83" s="7">
        <f t="shared" si="89"/>
        <v>2.9614325068870514E-3</v>
      </c>
      <c r="G83" s="7">
        <f t="shared" si="80"/>
        <v>3.2369146005509631E-3</v>
      </c>
      <c r="H83" s="7">
        <f t="shared" si="80"/>
        <v>1.7217630853994506E-3</v>
      </c>
      <c r="I83" s="7">
        <f t="shared" si="80"/>
        <v>3.0303030303030294E-3</v>
      </c>
      <c r="J83" s="7">
        <f t="shared" si="80"/>
        <v>2.8236914600550992E-3</v>
      </c>
      <c r="K83" s="7">
        <f t="shared" si="80"/>
        <v>2.8925619834710772E-3</v>
      </c>
      <c r="L83" s="7">
        <f t="shared" ref="L83:M83" si="90" xml:space="preserve"> (L38-L8)/14.52</f>
        <v>4.8898071625344324E-3</v>
      </c>
      <c r="M83" s="7">
        <f t="shared" si="90"/>
        <v>5.6473829201101906E-3</v>
      </c>
      <c r="N83" s="7">
        <f t="shared" ref="N83:O83" si="91" xml:space="preserve"> (N38-N8)/14.52</f>
        <v>7.0936639118457292E-3</v>
      </c>
      <c r="O83" s="7">
        <f t="shared" si="91"/>
        <v>5.7851239669421467E-3</v>
      </c>
      <c r="P83" s="7"/>
    </row>
    <row r="84" spans="1:16" x14ac:dyDescent="0.2">
      <c r="A84" s="4"/>
      <c r="B84" s="5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 x14ac:dyDescent="0.2">
      <c r="A85" s="4">
        <v>1</v>
      </c>
      <c r="B85" s="5">
        <v>60</v>
      </c>
      <c r="C85" s="7">
        <f t="shared" ref="C85:K85" si="92" xml:space="preserve"> (C40-C4)/14.52</f>
        <v>6.6804407713498644E-3</v>
      </c>
      <c r="D85" s="7">
        <f t="shared" si="92"/>
        <v>2.3071625344352625E-2</v>
      </c>
      <c r="E85" s="7">
        <f t="shared" si="92"/>
        <v>1.5702479338842973E-2</v>
      </c>
      <c r="F85" s="7">
        <f t="shared" si="92"/>
        <v>3.0303030303030294E-3</v>
      </c>
      <c r="G85" s="7">
        <f t="shared" si="92"/>
        <v>3.0303030303030294E-3</v>
      </c>
      <c r="H85" s="7">
        <f t="shared" si="92"/>
        <v>3.5812672176308534E-3</v>
      </c>
      <c r="I85" s="7">
        <f t="shared" si="92"/>
        <v>3.168044077134989E-3</v>
      </c>
      <c r="J85" s="7">
        <f t="shared" si="92"/>
        <v>3.099173553719011E-3</v>
      </c>
      <c r="K85" s="7">
        <f t="shared" si="92"/>
        <v>3.0303030303030294E-3</v>
      </c>
      <c r="L85" s="7">
        <f t="shared" ref="L85:M85" si="93" xml:space="preserve"> (L40-L4)/14.52</f>
        <v>5.3030303030302999E-3</v>
      </c>
      <c r="M85" s="7">
        <f t="shared" si="93"/>
        <v>5.647382920110194E-3</v>
      </c>
      <c r="N85" s="7">
        <f t="shared" ref="N85:O85" si="94" xml:space="preserve"> (N40-N4)/14.52</f>
        <v>6.818181818181817E-3</v>
      </c>
      <c r="O85" s="7">
        <f t="shared" si="94"/>
        <v>6.3360881542699702E-3</v>
      </c>
      <c r="P85" s="7"/>
    </row>
    <row r="86" spans="1:16" x14ac:dyDescent="0.2">
      <c r="A86" s="4">
        <v>2</v>
      </c>
      <c r="B86" s="5">
        <v>60</v>
      </c>
      <c r="C86" s="7">
        <f t="shared" ref="C86:D89" si="95" xml:space="preserve"> (C41-C5)/14.52</f>
        <v>7.8512396694214864E-3</v>
      </c>
      <c r="D86" s="7">
        <f t="shared" si="95"/>
        <v>1.831955922865014E-2</v>
      </c>
      <c r="E86" s="7">
        <f t="shared" ref="E86:F86" si="96" xml:space="preserve"> (E41-E5)/14.52</f>
        <v>6.7493112947658428E-3</v>
      </c>
      <c r="F86" s="7">
        <f t="shared" si="96"/>
        <v>3.0991735537190075E-3</v>
      </c>
      <c r="G86" s="7">
        <f t="shared" ref="G86:K89" si="97" xml:space="preserve"> (G41-G5)/14.52</f>
        <v>2.8236914600550953E-3</v>
      </c>
      <c r="H86" s="7">
        <f t="shared" si="97"/>
        <v>3.8567493112947656E-3</v>
      </c>
      <c r="I86" s="7">
        <f t="shared" si="97"/>
        <v>3.0991735537190075E-3</v>
      </c>
      <c r="J86" s="7">
        <f t="shared" si="97"/>
        <v>2.7548209366391211E-3</v>
      </c>
      <c r="K86" s="7">
        <f t="shared" si="97"/>
        <v>2.9614325068870549E-3</v>
      </c>
      <c r="L86" s="7">
        <f t="shared" ref="L86:M86" si="98" xml:space="preserve"> (L41-L5)/14.52</f>
        <v>5.5096418732782379E-3</v>
      </c>
      <c r="M86" s="7">
        <f t="shared" si="98"/>
        <v>6.198347107438015E-3</v>
      </c>
      <c r="N86" s="7">
        <f t="shared" ref="N86:O86" si="99" xml:space="preserve"> (N41-N5)/14.52</f>
        <v>6.7493112947658385E-3</v>
      </c>
      <c r="O86" s="7">
        <f t="shared" si="99"/>
        <v>6.6115702479338824E-3</v>
      </c>
      <c r="P86" s="7"/>
    </row>
    <row r="87" spans="1:16" x14ac:dyDescent="0.2">
      <c r="A87" s="4">
        <v>3</v>
      </c>
      <c r="B87" s="5">
        <v>60</v>
      </c>
      <c r="C87" s="7">
        <f t="shared" si="95"/>
        <v>7.2314049586776853E-3</v>
      </c>
      <c r="D87" s="7">
        <f t="shared" si="95"/>
        <v>1.5082644628099173E-2</v>
      </c>
      <c r="E87" s="7">
        <f t="shared" ref="E87:F87" si="100" xml:space="preserve"> (E42-E6)/14.52</f>
        <v>7.7134986225895347E-3</v>
      </c>
      <c r="F87" s="7">
        <f t="shared" si="100"/>
        <v>3.3057851239669412E-3</v>
      </c>
      <c r="G87" s="7">
        <f t="shared" si="97"/>
        <v>2.7548209366391172E-3</v>
      </c>
      <c r="H87" s="7">
        <f t="shared" si="97"/>
        <v>3.6501377410468315E-3</v>
      </c>
      <c r="I87" s="7">
        <f t="shared" si="97"/>
        <v>3.2369146005509631E-3</v>
      </c>
      <c r="J87" s="7">
        <f t="shared" si="97"/>
        <v>2.8925619834710772E-3</v>
      </c>
      <c r="K87" s="7">
        <f t="shared" si="97"/>
        <v>2.6859504132231431E-3</v>
      </c>
      <c r="L87" s="7">
        <f t="shared" ref="L87:M87" si="101" xml:space="preserve"> (L42-L6)/14.52</f>
        <v>5.2341597796143223E-3</v>
      </c>
      <c r="M87" s="7">
        <f t="shared" si="101"/>
        <v>6.198347107438015E-3</v>
      </c>
      <c r="N87" s="7">
        <f t="shared" ref="N87:O87" si="102" xml:space="preserve"> (N42-N6)/14.52</f>
        <v>7.3691460055096414E-3</v>
      </c>
      <c r="O87" s="7">
        <f t="shared" si="102"/>
        <v>6.6115702479338824E-3</v>
      </c>
      <c r="P87" s="7"/>
    </row>
    <row r="88" spans="1:16" x14ac:dyDescent="0.2">
      <c r="A88" s="4">
        <v>4</v>
      </c>
      <c r="B88" s="5">
        <v>60</v>
      </c>
      <c r="C88" s="7">
        <f t="shared" si="95"/>
        <v>7.2314049586776853E-3</v>
      </c>
      <c r="D88" s="7">
        <f t="shared" si="95"/>
        <v>2.4035812672176308E-2</v>
      </c>
      <c r="E88" s="7">
        <f t="shared" ref="E88:F88" si="103" xml:space="preserve"> (E43-E7)/14.52</f>
        <v>8.9531680440771352E-3</v>
      </c>
      <c r="F88" s="7">
        <f t="shared" si="103"/>
        <v>3.2369146005509631E-3</v>
      </c>
      <c r="G88" s="7">
        <f t="shared" si="97"/>
        <v>3.3057851239669412E-3</v>
      </c>
      <c r="H88" s="7">
        <f t="shared" si="97"/>
        <v>3.8567493112947656E-3</v>
      </c>
      <c r="I88" s="7">
        <f t="shared" si="97"/>
        <v>3.0991735537190075E-3</v>
      </c>
      <c r="J88" s="7">
        <f t="shared" si="97"/>
        <v>2.9614325068870549E-3</v>
      </c>
      <c r="K88" s="7">
        <f t="shared" si="97"/>
        <v>3.0303030303030294E-3</v>
      </c>
      <c r="L88" s="7">
        <f t="shared" ref="L88:M88" si="104" xml:space="preserve"> (L43-L7)/14.52</f>
        <v>5.2341597796143223E-3</v>
      </c>
      <c r="M88" s="7">
        <f t="shared" si="104"/>
        <v>5.7162534435261682E-3</v>
      </c>
      <c r="N88" s="7">
        <f t="shared" ref="N88:O88" si="105" xml:space="preserve"> (N43-N7)/14.52</f>
        <v>7.0936639118457292E-3</v>
      </c>
      <c r="O88" s="7">
        <f t="shared" si="105"/>
        <v>6.4738292011019263E-3</v>
      </c>
      <c r="P88" s="7"/>
    </row>
    <row r="89" spans="1:16" x14ac:dyDescent="0.2">
      <c r="A89" s="4">
        <v>5</v>
      </c>
      <c r="B89" s="5">
        <v>60</v>
      </c>
      <c r="C89" s="7">
        <f t="shared" si="95"/>
        <v>9.0220385674931129E-3</v>
      </c>
      <c r="D89" s="7">
        <f t="shared" si="95"/>
        <v>1.9352617079889806E-2</v>
      </c>
      <c r="E89" s="7">
        <f t="shared" ref="E89:F89" si="106" xml:space="preserve"> (E44-E8)/14.52</f>
        <v>8.1267217630854038E-3</v>
      </c>
      <c r="F89" s="7">
        <f t="shared" si="106"/>
        <v>3.0991735537190075E-3</v>
      </c>
      <c r="G89" s="7">
        <f t="shared" si="97"/>
        <v>3.4435261707988973E-3</v>
      </c>
      <c r="H89" s="7">
        <f t="shared" si="97"/>
        <v>1.9283746556473848E-3</v>
      </c>
      <c r="I89" s="7">
        <f t="shared" si="97"/>
        <v>3.0991735537190075E-3</v>
      </c>
      <c r="J89" s="7">
        <f t="shared" si="97"/>
        <v>2.8925619834710772E-3</v>
      </c>
      <c r="K89" s="7">
        <f t="shared" si="97"/>
        <v>2.9614325068870514E-3</v>
      </c>
      <c r="L89" s="7">
        <f t="shared" ref="L89:M89" si="107" xml:space="preserve"> (L44-L8)/14.52</f>
        <v>5.3719008264462784E-3</v>
      </c>
      <c r="M89" s="7">
        <f t="shared" si="107"/>
        <v>5.7851239669421467E-3</v>
      </c>
      <c r="N89" s="7">
        <f t="shared" ref="N89:O89" si="108" xml:space="preserve"> (N44-N8)/14.52</f>
        <v>7.5068870523415966E-3</v>
      </c>
      <c r="O89" s="7">
        <f t="shared" si="108"/>
        <v>6.2672176308539926E-3</v>
      </c>
      <c r="P89" s="7"/>
    </row>
    <row r="90" spans="1:16" x14ac:dyDescent="0.2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 x14ac:dyDescent="0.2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 x14ac:dyDescent="0.2">
      <c r="A92" s="8" t="s">
        <v>4</v>
      </c>
      <c r="B92" s="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ht="51" x14ac:dyDescent="0.2">
      <c r="A93" s="2"/>
      <c r="B93" s="3" t="s">
        <v>2</v>
      </c>
      <c r="C93" s="3" t="s">
        <v>8</v>
      </c>
      <c r="D93" s="3" t="s">
        <v>9</v>
      </c>
      <c r="E93" s="3" t="s">
        <v>10</v>
      </c>
      <c r="F93" s="3" t="s">
        <v>11</v>
      </c>
      <c r="G93" s="3" t="s">
        <v>12</v>
      </c>
      <c r="H93" s="3" t="s">
        <v>23</v>
      </c>
      <c r="I93" s="3" t="s">
        <v>24</v>
      </c>
      <c r="J93" s="3" t="s">
        <v>25</v>
      </c>
      <c r="K93" s="3" t="s">
        <v>26</v>
      </c>
      <c r="L93" s="3" t="s">
        <v>28</v>
      </c>
      <c r="M93" s="3" t="s">
        <v>27</v>
      </c>
      <c r="N93" s="3" t="s">
        <v>29</v>
      </c>
      <c r="O93" s="3" t="s">
        <v>30</v>
      </c>
      <c r="P93" s="3"/>
    </row>
    <row r="94" spans="1:16" x14ac:dyDescent="0.2">
      <c r="A94" s="4"/>
      <c r="B94" s="5">
        <v>0</v>
      </c>
      <c r="C94" s="7">
        <f t="shared" ref="C94:K94" si="109" xml:space="preserve"> AVERAGE(C49:C53)</f>
        <v>0</v>
      </c>
      <c r="D94" s="7">
        <f t="shared" si="109"/>
        <v>0</v>
      </c>
      <c r="E94" s="7">
        <f t="shared" si="109"/>
        <v>0</v>
      </c>
      <c r="F94" s="7">
        <f t="shared" si="109"/>
        <v>0</v>
      </c>
      <c r="G94" s="7">
        <f t="shared" si="109"/>
        <v>0</v>
      </c>
      <c r="H94" s="7">
        <f t="shared" si="109"/>
        <v>0</v>
      </c>
      <c r="I94" s="7">
        <f t="shared" si="109"/>
        <v>0</v>
      </c>
      <c r="J94" s="7">
        <f t="shared" si="109"/>
        <v>0</v>
      </c>
      <c r="K94" s="7">
        <f t="shared" si="109"/>
        <v>0</v>
      </c>
      <c r="L94" s="7">
        <f t="shared" ref="L94:M94" si="110" xml:space="preserve"> AVERAGE(L49:L53)</f>
        <v>0</v>
      </c>
      <c r="M94" s="7">
        <f t="shared" si="110"/>
        <v>0</v>
      </c>
      <c r="N94" s="7">
        <f t="shared" ref="N94:O94" si="111" xml:space="preserve"> AVERAGE(N49:N53)</f>
        <v>0</v>
      </c>
      <c r="O94" s="7">
        <f t="shared" si="111"/>
        <v>0</v>
      </c>
      <c r="P94" s="7"/>
    </row>
    <row r="95" spans="1:16" x14ac:dyDescent="0.2">
      <c r="A95" s="4"/>
      <c r="B95" s="5">
        <v>10</v>
      </c>
      <c r="C95" s="7">
        <f t="shared" ref="C95:K95" si="112" xml:space="preserve"> AVERAGE(C55:C59)</f>
        <v>3.815426997245179E-3</v>
      </c>
      <c r="D95" s="7">
        <f t="shared" si="112"/>
        <v>1.3870523415977965E-2</v>
      </c>
      <c r="E95" s="7">
        <f xml:space="preserve"> AVERAGE(E55:E59)</f>
        <v>5.7851239669421493E-3</v>
      </c>
      <c r="F95" s="7">
        <f t="shared" si="112"/>
        <v>1.8319559228650122E-3</v>
      </c>
      <c r="G95" s="7">
        <f t="shared" si="112"/>
        <v>1.6804407713498601E-3</v>
      </c>
      <c r="H95" s="7">
        <f t="shared" si="112"/>
        <v>2.6997245179063377E-3</v>
      </c>
      <c r="I95" s="7">
        <f t="shared" si="112"/>
        <v>2.3140495867768609E-3</v>
      </c>
      <c r="J95" s="7">
        <f t="shared" si="112"/>
        <v>2.5068870523416004E-3</v>
      </c>
      <c r="K95" s="7">
        <f t="shared" si="112"/>
        <v>1.7493112947658419E-3</v>
      </c>
      <c r="L95" s="7">
        <f t="shared" ref="L95:M95" si="113" xml:space="preserve"> AVERAGE(L55:L59)</f>
        <v>3.3471074380165286E-3</v>
      </c>
      <c r="M95" s="7">
        <f t="shared" si="113"/>
        <v>3.4848484848484852E-3</v>
      </c>
      <c r="N95" s="7">
        <f t="shared" ref="N95:O95" si="114" xml:space="preserve"> AVERAGE(N55:N59)</f>
        <v>4.2561983471074375E-3</v>
      </c>
      <c r="O95" s="7">
        <f t="shared" si="114"/>
        <v>3.9807162534435262E-3</v>
      </c>
      <c r="P95" s="7"/>
    </row>
    <row r="96" spans="1:16" x14ac:dyDescent="0.2">
      <c r="A96" s="4"/>
      <c r="B96" s="5">
        <v>20</v>
      </c>
      <c r="C96" s="7">
        <f t="shared" ref="C96:K96" si="115" xml:space="preserve"> AVERAGE(C61:C65)</f>
        <v>4.7933884297520655E-3</v>
      </c>
      <c r="D96" s="7">
        <f t="shared" si="115"/>
        <v>1.5688705234159783E-2</v>
      </c>
      <c r="E96" s="7">
        <f t="shared" si="115"/>
        <v>6.584022038567494E-3</v>
      </c>
      <c r="F96" s="7">
        <f t="shared" si="115"/>
        <v>2.5482093663911831E-3</v>
      </c>
      <c r="G96" s="7">
        <f t="shared" si="115"/>
        <v>2.1900826446280977E-3</v>
      </c>
      <c r="H96" s="7">
        <f t="shared" si="115"/>
        <v>3.0440771349862267E-3</v>
      </c>
      <c r="I96" s="7">
        <f t="shared" si="115"/>
        <v>2.5895316804407723E-3</v>
      </c>
      <c r="J96" s="7">
        <f t="shared" si="115"/>
        <v>2.6584022038567516E-3</v>
      </c>
      <c r="K96" s="7">
        <f t="shared" si="115"/>
        <v>2.534435261707991E-3</v>
      </c>
      <c r="L96" s="7">
        <f t="shared" ref="L96:M96" si="116" xml:space="preserve"> AVERAGE(L61:L65)</f>
        <v>3.9393939393939396E-3</v>
      </c>
      <c r="M96" s="7">
        <f t="shared" si="116"/>
        <v>4.0495867768595047E-3</v>
      </c>
      <c r="N96" s="7">
        <f t="shared" ref="N96:O96" si="117" xml:space="preserve"> AVERAGE(N61:N65)</f>
        <v>4.9862258953168028E-3</v>
      </c>
      <c r="O96" s="7">
        <f t="shared" si="117"/>
        <v>4.6280991735537192E-3</v>
      </c>
      <c r="P96" s="7"/>
    </row>
    <row r="97" spans="1:16" x14ac:dyDescent="0.2">
      <c r="A97" s="4"/>
      <c r="B97" s="5">
        <v>30</v>
      </c>
      <c r="C97" s="7">
        <f t="shared" ref="C97:K97" si="118" xml:space="preserve"> AVERAGE(C67:C71)</f>
        <v>5.5234159779614309E-3</v>
      </c>
      <c r="D97" s="7">
        <f t="shared" si="118"/>
        <v>1.6804407713498625E-2</v>
      </c>
      <c r="E97" s="7">
        <f t="shared" si="118"/>
        <v>8.0578512396694245E-3</v>
      </c>
      <c r="F97" s="7">
        <f t="shared" si="118"/>
        <v>2.6446280991735526E-3</v>
      </c>
      <c r="G97" s="7">
        <f t="shared" si="118"/>
        <v>2.520661157024792E-3</v>
      </c>
      <c r="H97" s="7">
        <f t="shared" si="118"/>
        <v>3.0578512396694218E-3</v>
      </c>
      <c r="I97" s="7">
        <f t="shared" si="118"/>
        <v>2.7548209366391185E-3</v>
      </c>
      <c r="J97" s="7">
        <f t="shared" si="118"/>
        <v>2.8236914600550988E-3</v>
      </c>
      <c r="K97" s="7">
        <f t="shared" si="118"/>
        <v>2.3966942148760354E-3</v>
      </c>
      <c r="L97" s="7">
        <f t="shared" ref="L97:M97" si="119" xml:space="preserve"> AVERAGE(L67:L71)</f>
        <v>4.325068870523416E-3</v>
      </c>
      <c r="M97" s="7">
        <f t="shared" si="119"/>
        <v>4.5454545454545452E-3</v>
      </c>
      <c r="N97" s="7">
        <f t="shared" ref="N97:O97" si="120" xml:space="preserve"> AVERAGE(N67:N71)</f>
        <v>5.6473829201101906E-3</v>
      </c>
      <c r="O97" s="7">
        <f t="shared" si="120"/>
        <v>4.9724517906336099E-3</v>
      </c>
      <c r="P97" s="7"/>
    </row>
    <row r="98" spans="1:16" x14ac:dyDescent="0.2">
      <c r="A98" s="4"/>
      <c r="B98" s="5">
        <v>40</v>
      </c>
      <c r="C98" s="7">
        <f t="shared" ref="C98:K98" si="121" xml:space="preserve"> AVERAGE(C73:C77)</f>
        <v>6.3911845730027532E-3</v>
      </c>
      <c r="D98" s="7">
        <f t="shared" si="121"/>
        <v>1.797520661157025E-2</v>
      </c>
      <c r="E98" s="7">
        <f t="shared" si="121"/>
        <v>8.4710743801652919E-3</v>
      </c>
      <c r="F98" s="7">
        <f t="shared" si="121"/>
        <v>2.9063360881542689E-3</v>
      </c>
      <c r="G98" s="7">
        <f t="shared" si="121"/>
        <v>2.6859504132231392E-3</v>
      </c>
      <c r="H98" s="7">
        <f t="shared" si="121"/>
        <v>3.0716253443526173E-3</v>
      </c>
      <c r="I98" s="7">
        <f t="shared" si="121"/>
        <v>2.9614325068870531E-3</v>
      </c>
      <c r="J98" s="7">
        <f t="shared" si="121"/>
        <v>2.7961432506887081E-3</v>
      </c>
      <c r="K98" s="7">
        <f t="shared" si="121"/>
        <v>2.6997245179063386E-3</v>
      </c>
      <c r="L98" s="7">
        <f t="shared" ref="L98:M98" si="122" xml:space="preserve"> AVERAGE(L73:L77)</f>
        <v>4.5592286501377416E-3</v>
      </c>
      <c r="M98" s="7">
        <f t="shared" si="122"/>
        <v>4.9862258953168028E-3</v>
      </c>
      <c r="N98" s="7">
        <f t="shared" ref="N98:O98" si="123" xml:space="preserve"> AVERAGE(N73:N77)</f>
        <v>6.2947658402203845E-3</v>
      </c>
      <c r="O98" s="7">
        <f t="shared" si="123"/>
        <v>5.6336088154269968E-3</v>
      </c>
      <c r="P98" s="7"/>
    </row>
    <row r="99" spans="1:16" x14ac:dyDescent="0.2">
      <c r="A99" s="4"/>
      <c r="B99" s="5">
        <v>50</v>
      </c>
      <c r="C99" s="7">
        <f t="shared" ref="C99:K99" si="124" xml:space="preserve"> AVERAGE(C79:C83)</f>
        <v>7.1349862258953175E-3</v>
      </c>
      <c r="D99" s="7">
        <f t="shared" si="124"/>
        <v>1.9063360881542701E-2</v>
      </c>
      <c r="E99" s="7">
        <f t="shared" si="124"/>
        <v>9.1046831955922895E-3</v>
      </c>
      <c r="F99" s="7">
        <f t="shared" si="124"/>
        <v>2.9614325068870514E-3</v>
      </c>
      <c r="G99" s="7">
        <f t="shared" si="124"/>
        <v>2.9338842975206599E-3</v>
      </c>
      <c r="H99" s="7">
        <f t="shared" si="124"/>
        <v>3.1680440771349855E-3</v>
      </c>
      <c r="I99" s="7">
        <f t="shared" si="124"/>
        <v>2.9889807162534437E-3</v>
      </c>
      <c r="J99" s="7">
        <f t="shared" si="124"/>
        <v>2.8236914600550988E-3</v>
      </c>
      <c r="K99" s="7">
        <f t="shared" si="124"/>
        <v>2.8512396694214902E-3</v>
      </c>
      <c r="L99" s="7">
        <f t="shared" ref="L99:M99" si="125" xml:space="preserve"> AVERAGE(L79:L83)</f>
        <v>4.8622589531680431E-3</v>
      </c>
      <c r="M99" s="7">
        <f t="shared" si="125"/>
        <v>5.5785123966942129E-3</v>
      </c>
      <c r="N99" s="7">
        <f t="shared" ref="N99:O99" si="126" xml:space="preserve"> AVERAGE(N79:N83)</f>
        <v>6.9421487603305767E-3</v>
      </c>
      <c r="O99" s="7">
        <f t="shared" si="126"/>
        <v>6.198347107438015E-3</v>
      </c>
      <c r="P99" s="7"/>
    </row>
    <row r="100" spans="1:16" x14ac:dyDescent="0.2">
      <c r="A100" s="4"/>
      <c r="B100" s="5">
        <v>60</v>
      </c>
      <c r="C100" s="7">
        <f t="shared" ref="C100:K100" si="127" xml:space="preserve"> AVERAGE(C85:C89)</f>
        <v>7.6033057851239679E-3</v>
      </c>
      <c r="D100" s="7">
        <f t="shared" si="127"/>
        <v>1.9972451790633609E-2</v>
      </c>
      <c r="E100" s="7">
        <f xml:space="preserve"> AVERAGE(E85:E89)</f>
        <v>9.4490358126721775E-3</v>
      </c>
      <c r="F100" s="7">
        <f t="shared" si="127"/>
        <v>3.1542699724517896E-3</v>
      </c>
      <c r="G100" s="7">
        <f t="shared" si="127"/>
        <v>3.071625344352616E-3</v>
      </c>
      <c r="H100" s="7">
        <f t="shared" si="127"/>
        <v>3.3746556473829201E-3</v>
      </c>
      <c r="I100" s="7">
        <f t="shared" si="127"/>
        <v>3.1404958677685954E-3</v>
      </c>
      <c r="J100" s="7">
        <f xml:space="preserve"> AVERAGE(J85:J89)</f>
        <v>2.9201101928374683E-3</v>
      </c>
      <c r="K100" s="7">
        <f t="shared" si="127"/>
        <v>2.9338842975206612E-3</v>
      </c>
      <c r="L100" s="7">
        <f t="shared" ref="L100:M100" si="128" xml:space="preserve"> AVERAGE(L85:L89)</f>
        <v>5.3305785123966918E-3</v>
      </c>
      <c r="M100" s="7">
        <f t="shared" si="128"/>
        <v>5.9090909090909072E-3</v>
      </c>
      <c r="N100" s="7">
        <f t="shared" ref="N100:O100" si="129" xml:space="preserve"> AVERAGE(N85:N89)</f>
        <v>7.1074380165289247E-3</v>
      </c>
      <c r="O100" s="7">
        <f t="shared" si="129"/>
        <v>6.4600550964187308E-3</v>
      </c>
      <c r="P100" s="7"/>
    </row>
    <row r="101" spans="1:16" x14ac:dyDescent="0.2">
      <c r="A101" s="4"/>
      <c r="B101" s="5"/>
      <c r="C101" s="5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spans="1:16" x14ac:dyDescent="0.2">
      <c r="A102" s="4"/>
      <c r="B102" s="5"/>
      <c r="C102" s="5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spans="1:16" x14ac:dyDescent="0.2">
      <c r="A103" s="8" t="s">
        <v>5</v>
      </c>
      <c r="B103" s="8"/>
      <c r="C103" s="3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1:16" ht="51" x14ac:dyDescent="0.2">
      <c r="A104" s="2"/>
      <c r="B104" s="3" t="s">
        <v>2</v>
      </c>
      <c r="C104" s="3" t="s">
        <v>8</v>
      </c>
      <c r="D104" s="3" t="s">
        <v>9</v>
      </c>
      <c r="E104" s="3" t="s">
        <v>10</v>
      </c>
      <c r="F104" s="3" t="s">
        <v>11</v>
      </c>
      <c r="G104" s="3" t="s">
        <v>12</v>
      </c>
      <c r="H104" s="3" t="s">
        <v>23</v>
      </c>
      <c r="I104" s="3" t="s">
        <v>24</v>
      </c>
      <c r="J104" s="3" t="s">
        <v>25</v>
      </c>
      <c r="K104" s="3" t="s">
        <v>26</v>
      </c>
      <c r="L104" s="3" t="s">
        <v>28</v>
      </c>
      <c r="M104" s="3" t="s">
        <v>27</v>
      </c>
      <c r="N104" s="3" t="s">
        <v>29</v>
      </c>
      <c r="O104" s="3" t="s">
        <v>30</v>
      </c>
      <c r="P104" s="9"/>
    </row>
    <row r="105" spans="1:16" x14ac:dyDescent="0.2">
      <c r="A105" s="4"/>
      <c r="B105" s="5">
        <v>0</v>
      </c>
      <c r="C105" s="7">
        <f t="shared" ref="C105:K105" si="130" xml:space="preserve"> STDEV(C49:C53)*32.258/AVERAGE(C4:C8)</f>
        <v>0</v>
      </c>
      <c r="D105" s="7">
        <f t="shared" si="130"/>
        <v>0</v>
      </c>
      <c r="E105" s="7">
        <f t="shared" si="130"/>
        <v>0</v>
      </c>
      <c r="F105" s="7">
        <f t="shared" si="130"/>
        <v>0</v>
      </c>
      <c r="G105" s="7">
        <f t="shared" si="130"/>
        <v>0</v>
      </c>
      <c r="H105" s="7">
        <f t="shared" si="130"/>
        <v>0</v>
      </c>
      <c r="I105" s="7">
        <f t="shared" si="130"/>
        <v>0</v>
      </c>
      <c r="J105" s="7">
        <f t="shared" si="130"/>
        <v>0</v>
      </c>
      <c r="K105" s="7">
        <f t="shared" si="130"/>
        <v>0</v>
      </c>
      <c r="L105" s="7">
        <f t="shared" ref="L105:M105" si="131" xml:space="preserve"> STDEV(L49:L53)*32.258/AVERAGE(L4:L8)</f>
        <v>0</v>
      </c>
      <c r="M105" s="7">
        <f t="shared" si="131"/>
        <v>0</v>
      </c>
      <c r="N105" s="7">
        <f t="shared" ref="N105:O105" si="132" xml:space="preserve"> STDEV(N49:N53)*32.258/AVERAGE(N4:N8)</f>
        <v>0</v>
      </c>
      <c r="O105" s="7">
        <f t="shared" si="132"/>
        <v>0</v>
      </c>
      <c r="P105" s="7"/>
    </row>
    <row r="106" spans="1:16" x14ac:dyDescent="0.2">
      <c r="A106" s="4"/>
      <c r="B106" s="5">
        <v>10</v>
      </c>
      <c r="C106" s="7">
        <f t="shared" ref="C106:K106" si="133" xml:space="preserve"> STDEV(C55:C59)*32.258/AVERAGE(C4:C8)</f>
        <v>1.7069210711093314E-2</v>
      </c>
      <c r="D106" s="7">
        <f t="shared" si="133"/>
        <v>0.6961597997392468</v>
      </c>
      <c r="E106" s="7">
        <f t="shared" si="133"/>
        <v>0.20541852479004538</v>
      </c>
      <c r="F106" s="7">
        <f t="shared" si="133"/>
        <v>6.5318272857356327E-3</v>
      </c>
      <c r="G106" s="7">
        <f t="shared" si="133"/>
        <v>1.8418279244608149E-2</v>
      </c>
      <c r="H106" s="7">
        <f t="shared" si="133"/>
        <v>7.4941735788222053E-2</v>
      </c>
      <c r="I106" s="7">
        <f t="shared" si="133"/>
        <v>1.6454224618554478E-2</v>
      </c>
      <c r="J106" s="7">
        <f t="shared" si="133"/>
        <v>3.4672441746162463E-2</v>
      </c>
      <c r="K106" s="7">
        <f t="shared" si="133"/>
        <v>1.5933141131312167E-2</v>
      </c>
      <c r="L106" s="7">
        <f t="shared" ref="L106:M106" si="134" xml:space="preserve"> STDEV(L55:L59)*32.258/AVERAGE(L4:L8)</f>
        <v>1.3621704217100728E-2</v>
      </c>
      <c r="M106" s="7">
        <f t="shared" si="134"/>
        <v>1.509612051962899E-2</v>
      </c>
      <c r="N106" s="7">
        <f t="shared" ref="N106:O106" si="135" xml:space="preserve"> STDEV(N55:N59)*32.258/AVERAGE(N4:N8)</f>
        <v>2.2557586402364521E-2</v>
      </c>
      <c r="O106" s="7">
        <f t="shared" si="135"/>
        <v>1.755352448841831E-2</v>
      </c>
      <c r="P106" s="7"/>
    </row>
    <row r="107" spans="1:16" x14ac:dyDescent="0.2">
      <c r="A107" s="4"/>
      <c r="B107" s="5">
        <v>20</v>
      </c>
      <c r="C107" s="7">
        <f t="shared" ref="C107:K107" si="136" xml:space="preserve"> STDEV(C61:C65)*32.258/AVERAGE(C4:C8)</f>
        <v>3.5128145837422353E-2</v>
      </c>
      <c r="D107" s="7">
        <f t="shared" si="136"/>
        <v>0.62850302415948411</v>
      </c>
      <c r="E107" s="7">
        <f t="shared" si="136"/>
        <v>0.26199099109266294</v>
      </c>
      <c r="F107" s="7">
        <f t="shared" si="136"/>
        <v>2.1814588123809087E-2</v>
      </c>
      <c r="G107" s="7">
        <f t="shared" si="136"/>
        <v>1.5551867160614742E-2</v>
      </c>
      <c r="H107" s="7">
        <f t="shared" si="136"/>
        <v>6.4504033902477026E-2</v>
      </c>
      <c r="I107" s="7">
        <f t="shared" si="136"/>
        <v>1.1871559946612105E-2</v>
      </c>
      <c r="J107" s="7">
        <f t="shared" si="136"/>
        <v>2.814861868183274E-2</v>
      </c>
      <c r="K107" s="7">
        <f t="shared" si="136"/>
        <v>1.4587617744717491E-2</v>
      </c>
      <c r="L107" s="7">
        <f t="shared" ref="L107:M107" si="137" xml:space="preserve"> STDEV(L61:L65)*32.258/AVERAGE(L4:L8)</f>
        <v>1.7003354885883615E-2</v>
      </c>
      <c r="M107" s="7">
        <f t="shared" si="137"/>
        <v>7.1832013897704695E-3</v>
      </c>
      <c r="N107" s="7">
        <f t="shared" ref="N107:O107" si="138" xml:space="preserve"> STDEV(N61:N65)*32.258/AVERAGE(N4:N8)</f>
        <v>1.3977124897522532E-2</v>
      </c>
      <c r="O107" s="7">
        <f t="shared" si="138"/>
        <v>1.0058616921661351E-2</v>
      </c>
      <c r="P107" s="7"/>
    </row>
    <row r="108" spans="1:16" x14ac:dyDescent="0.2">
      <c r="A108" s="4"/>
      <c r="B108" s="5">
        <v>30</v>
      </c>
      <c r="C108" s="7">
        <f t="shared" ref="C108:K108" si="139" xml:space="preserve"> STDEV(C67:C71)*32.258/AVERAGE(C4:C8)</f>
        <v>5.1207632133280175E-2</v>
      </c>
      <c r="D108" s="7">
        <f t="shared" si="139"/>
        <v>0.53417540201550062</v>
      </c>
      <c r="E108" s="7">
        <f t="shared" si="139"/>
        <v>0.28265128957939295</v>
      </c>
      <c r="F108" s="7">
        <f t="shared" si="139"/>
        <v>2.3827916417654808E-2</v>
      </c>
      <c r="G108" s="7">
        <f t="shared" si="139"/>
        <v>2.3645427840705419E-2</v>
      </c>
      <c r="H108" s="7">
        <f t="shared" si="139"/>
        <v>8.0822362370756157E-2</v>
      </c>
      <c r="I108" s="7">
        <f t="shared" si="139"/>
        <v>1.2918802189536439E-2</v>
      </c>
      <c r="J108" s="7">
        <f t="shared" si="139"/>
        <v>2.1186440079125086E-2</v>
      </c>
      <c r="K108" s="7">
        <f t="shared" si="139"/>
        <v>2.7461397300328955E-2</v>
      </c>
      <c r="L108" s="7">
        <f t="shared" ref="L108:M108" si="140" xml:space="preserve"> STDEV(L67:L71)*32.258/AVERAGE(L4:L8)</f>
        <v>3.0950930151990456E-2</v>
      </c>
      <c r="M108" s="7">
        <f t="shared" si="140"/>
        <v>1.6717991414914753E-2</v>
      </c>
      <c r="N108" s="7">
        <f t="shared" ref="N108:O108" si="141" xml:space="preserve"> STDEV(N67:N71)*32.258/AVERAGE(N4:N8)</f>
        <v>2.522014830200596E-2</v>
      </c>
      <c r="O108" s="7">
        <f t="shared" si="141"/>
        <v>1.8817949152831741E-2</v>
      </c>
      <c r="P108" s="7"/>
    </row>
    <row r="109" spans="1:16" x14ac:dyDescent="0.2">
      <c r="A109" s="4"/>
      <c r="B109" s="5">
        <v>40</v>
      </c>
      <c r="C109" s="7">
        <f t="shared" ref="C109:K109" si="142" xml:space="preserve"> STDEV(C73:C77)*32.258/AVERAGE(C4:C8)</f>
        <v>6.902578857180762E-2</v>
      </c>
      <c r="D109" s="7">
        <f t="shared" si="142"/>
        <v>0.47029695344489003</v>
      </c>
      <c r="E109" s="7">
        <f t="shared" si="142"/>
        <v>0.28756367077851491</v>
      </c>
      <c r="F109" s="7">
        <f t="shared" si="142"/>
        <v>2.3057941008034814E-2</v>
      </c>
      <c r="G109" s="7">
        <f t="shared" si="142"/>
        <v>2.4429466111104491E-2</v>
      </c>
      <c r="H109" s="7">
        <f t="shared" si="142"/>
        <v>8.1777178269189871E-2</v>
      </c>
      <c r="I109" s="7">
        <f t="shared" si="142"/>
        <v>9.6291066278920683E-3</v>
      </c>
      <c r="J109" s="7">
        <f t="shared" si="142"/>
        <v>9.474864043629936E-3</v>
      </c>
      <c r="K109" s="7">
        <f t="shared" si="142"/>
        <v>1.0930044643583802E-2</v>
      </c>
      <c r="L109" s="7">
        <f t="shared" ref="L109:M109" si="143" xml:space="preserve"> STDEV(L73:L77)*32.258/AVERAGE(L4:L8)</f>
        <v>1.9375675137645449E-2</v>
      </c>
      <c r="M109" s="7">
        <f t="shared" si="143"/>
        <v>1.7099439537618284E-2</v>
      </c>
      <c r="N109" s="7">
        <f t="shared" ref="N109:O109" si="144" xml:space="preserve"> STDEV(N73:N77)*32.258/AVERAGE(N4:N8)</f>
        <v>2.3639385006223618E-2</v>
      </c>
      <c r="O109" s="7">
        <f t="shared" si="144"/>
        <v>1.3044510604323836E-2</v>
      </c>
      <c r="P109" s="7"/>
    </row>
    <row r="110" spans="1:16" x14ac:dyDescent="0.2">
      <c r="A110" s="4"/>
      <c r="B110" s="5">
        <v>50</v>
      </c>
      <c r="C110" s="7">
        <f t="shared" ref="C110:K110" si="145" xml:space="preserve"> STDEV(C79:C83)*32.258/AVERAGE(C4:C8)</f>
        <v>4.9114890558461161E-2</v>
      </c>
      <c r="D110" s="7">
        <f t="shared" si="145"/>
        <v>0.3774202004647142</v>
      </c>
      <c r="E110" s="7">
        <f t="shared" si="145"/>
        <v>0.30176844066420966</v>
      </c>
      <c r="F110" s="7">
        <f t="shared" si="145"/>
        <v>1.9427277184468492E-2</v>
      </c>
      <c r="G110" s="7">
        <f t="shared" si="145"/>
        <v>2.1922137167047561E-2</v>
      </c>
      <c r="H110" s="7">
        <f t="shared" si="145"/>
        <v>7.3714597786574451E-2</v>
      </c>
      <c r="I110" s="7">
        <f t="shared" si="145"/>
        <v>6.9436475367549858E-3</v>
      </c>
      <c r="J110" s="7">
        <f t="shared" si="145"/>
        <v>1.1688077728263737E-2</v>
      </c>
      <c r="K110" s="7">
        <f t="shared" si="145"/>
        <v>1.2670133020416545E-2</v>
      </c>
      <c r="L110" s="7">
        <f t="shared" ref="L110:M110" si="146" xml:space="preserve"> STDEV(L79:L83)*32.258/AVERAGE(L4:L8)</f>
        <v>1.5122902519368249E-2</v>
      </c>
      <c r="M110" s="7">
        <f t="shared" si="146"/>
        <v>2.6229342908531374E-2</v>
      </c>
      <c r="N110" s="7">
        <f t="shared" ref="N110:O110" si="147" xml:space="preserve"> STDEV(N79:N83)*32.258/AVERAGE(N4:N8)</f>
        <v>2.9916909747058476E-2</v>
      </c>
      <c r="O110" s="7">
        <f t="shared" si="147"/>
        <v>3.9250874000810572E-2</v>
      </c>
      <c r="P110" s="7"/>
    </row>
    <row r="111" spans="1:16" x14ac:dyDescent="0.2">
      <c r="A111" s="4"/>
      <c r="B111" s="5">
        <v>60</v>
      </c>
      <c r="C111" s="7">
        <f t="shared" ref="C111:K111" si="148" xml:space="preserve"> STDEV(C85:C89)*32.258/AVERAGE(C4:C8)</f>
        <v>8.5044298738424132E-2</v>
      </c>
      <c r="D111" s="7">
        <f t="shared" si="148"/>
        <v>0.3374809238307469</v>
      </c>
      <c r="E111" s="7">
        <f t="shared" si="148"/>
        <v>0.32925838787126155</v>
      </c>
      <c r="F111" s="7">
        <f t="shared" si="148"/>
        <v>9.4133649981468018E-3</v>
      </c>
      <c r="G111" s="7">
        <f t="shared" si="148"/>
        <v>2.4300549822785268E-2</v>
      </c>
      <c r="H111" s="7">
        <f t="shared" si="148"/>
        <v>7.3977395760169262E-2</v>
      </c>
      <c r="I111" s="7">
        <f t="shared" si="148"/>
        <v>5.447045274680761E-3</v>
      </c>
      <c r="J111" s="7">
        <f t="shared" si="148"/>
        <v>1.1349220630766866E-2</v>
      </c>
      <c r="K111" s="7">
        <f t="shared" si="148"/>
        <v>1.2670133020416429E-2</v>
      </c>
      <c r="L111" s="7">
        <f t="shared" ref="L111:M111" si="149" xml:space="preserve"> STDEV(L85:L89)*32.258/AVERAGE(L4:L8)</f>
        <v>1.0991987696953637E-2</v>
      </c>
      <c r="M111" s="7">
        <f t="shared" si="149"/>
        <v>2.5565201112892944E-2</v>
      </c>
      <c r="N111" s="7">
        <f t="shared" ref="N111:O111" si="150" xml:space="preserve"> STDEV(N85:N89)*32.258/AVERAGE(N4:N8)</f>
        <v>3.2465912260514644E-2</v>
      </c>
      <c r="O111" s="7">
        <f t="shared" si="150"/>
        <v>1.5464240667938127E-2</v>
      </c>
      <c r="P111" s="7"/>
    </row>
    <row r="112" spans="1:16" x14ac:dyDescent="0.2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 x14ac:dyDescent="0.2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 x14ac:dyDescent="0.2">
      <c r="A114" s="8" t="s">
        <v>6</v>
      </c>
      <c r="B114" s="8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ht="51" x14ac:dyDescent="0.2">
      <c r="A115" s="2"/>
      <c r="B115" s="3" t="s">
        <v>2</v>
      </c>
      <c r="C115" s="3" t="s">
        <v>8</v>
      </c>
      <c r="D115" s="3" t="s">
        <v>9</v>
      </c>
      <c r="E115" s="3" t="s">
        <v>10</v>
      </c>
      <c r="F115" s="3" t="s">
        <v>11</v>
      </c>
      <c r="G115" s="3" t="s">
        <v>12</v>
      </c>
      <c r="H115" s="3" t="s">
        <v>23</v>
      </c>
      <c r="I115" s="3" t="s">
        <v>24</v>
      </c>
      <c r="J115" s="3" t="s">
        <v>25</v>
      </c>
      <c r="K115" s="3" t="s">
        <v>26</v>
      </c>
      <c r="L115" s="3" t="s">
        <v>28</v>
      </c>
      <c r="M115" s="3" t="s">
        <v>27</v>
      </c>
      <c r="N115" s="3" t="s">
        <v>29</v>
      </c>
      <c r="O115" s="3" t="s">
        <v>30</v>
      </c>
      <c r="P115" s="3"/>
    </row>
    <row r="116" spans="1:16" x14ac:dyDescent="0.2">
      <c r="A116" s="4"/>
      <c r="B116" s="5">
        <v>0</v>
      </c>
      <c r="C116" s="7">
        <f t="shared" ref="C116:K116" si="151">AVERAGE(C49:C53)*32.258/AVERAGE(C4:C8)</f>
        <v>0</v>
      </c>
      <c r="D116" s="7">
        <f t="shared" si="151"/>
        <v>0</v>
      </c>
      <c r="E116" s="7">
        <f t="shared" si="151"/>
        <v>0</v>
      </c>
      <c r="F116" s="7">
        <f t="shared" si="151"/>
        <v>0</v>
      </c>
      <c r="G116" s="7">
        <f t="shared" si="151"/>
        <v>0</v>
      </c>
      <c r="H116" s="7">
        <f t="shared" si="151"/>
        <v>0</v>
      </c>
      <c r="I116" s="7">
        <f t="shared" si="151"/>
        <v>0</v>
      </c>
      <c r="J116" s="7">
        <f t="shared" si="151"/>
        <v>0</v>
      </c>
      <c r="K116" s="7">
        <f t="shared" si="151"/>
        <v>0</v>
      </c>
      <c r="L116" s="7">
        <f t="shared" ref="L116:M116" si="152">AVERAGE(L49:L53)*32.258/AVERAGE(L4:L8)</f>
        <v>0</v>
      </c>
      <c r="M116" s="7">
        <f t="shared" si="152"/>
        <v>0</v>
      </c>
      <c r="N116" s="7">
        <f t="shared" ref="N116:O116" si="153">AVERAGE(N49:N53)*32.258/AVERAGE(N4:N8)</f>
        <v>0</v>
      </c>
      <c r="O116" s="7">
        <f t="shared" si="153"/>
        <v>0</v>
      </c>
      <c r="P116" s="7"/>
    </row>
    <row r="117" spans="1:16" x14ac:dyDescent="0.2">
      <c r="A117" s="4"/>
      <c r="B117" s="5">
        <v>10</v>
      </c>
      <c r="C117" s="7">
        <f t="shared" ref="C117:K117" si="154">AVERAGE(C55:C59)*32.258/AVERAGE(C4:C8)</f>
        <v>0.36263418997388036</v>
      </c>
      <c r="D117" s="7">
        <f t="shared" si="154"/>
        <v>1.2842575899902906</v>
      </c>
      <c r="E117" s="7">
        <f t="shared" si="154"/>
        <v>0.53136824864925936</v>
      </c>
      <c r="F117" s="7">
        <f t="shared" si="154"/>
        <v>0.15238585394476423</v>
      </c>
      <c r="G117" s="7">
        <f t="shared" si="154"/>
        <v>0.136749895061059</v>
      </c>
      <c r="H117" s="7">
        <f t="shared" si="154"/>
        <v>0.24421680734330528</v>
      </c>
      <c r="I117" s="7">
        <f t="shared" si="154"/>
        <v>0.20462338697984642</v>
      </c>
      <c r="J117" s="7">
        <f t="shared" si="154"/>
        <v>0.22741046831955949</v>
      </c>
      <c r="K117" s="7">
        <f t="shared" si="154"/>
        <v>0.1551960499080213</v>
      </c>
      <c r="L117" s="7">
        <f t="shared" ref="L117:M117" si="155">AVERAGE(L55:L59)*32.258/AVERAGE(L4:L8)</f>
        <v>0.31925189750306682</v>
      </c>
      <c r="M117" s="7">
        <f t="shared" si="155"/>
        <v>0.33180118779292339</v>
      </c>
      <c r="N117" s="7">
        <f t="shared" ref="N117:O117" si="156">AVERAGE(N55:N59)*32.258/AVERAGE(N4:N8)</f>
        <v>0.41655475206611564</v>
      </c>
      <c r="O117" s="7">
        <f t="shared" si="156"/>
        <v>0.39197174878993069</v>
      </c>
      <c r="P117" s="7"/>
    </row>
    <row r="118" spans="1:16" x14ac:dyDescent="0.2">
      <c r="A118" s="4"/>
      <c r="B118" s="5">
        <v>20</v>
      </c>
      <c r="C118" s="7">
        <f t="shared" ref="C118:K118" si="157">AVERAGE(C61:C65)*32.258/AVERAGE(C4:C8)</f>
        <v>0.45558374769281718</v>
      </c>
      <c r="D118" s="7">
        <f t="shared" si="157"/>
        <v>1.4526011866920963</v>
      </c>
      <c r="E118" s="7">
        <f t="shared" si="157"/>
        <v>0.60474767346272862</v>
      </c>
      <c r="F118" s="7">
        <f t="shared" si="157"/>
        <v>0.21196528556226607</v>
      </c>
      <c r="G118" s="7">
        <f t="shared" si="157"/>
        <v>0.17822322389105241</v>
      </c>
      <c r="H118" s="7">
        <f t="shared" si="157"/>
        <v>0.27536691032076754</v>
      </c>
      <c r="I118" s="7">
        <f t="shared" si="157"/>
        <v>0.22898331400125665</v>
      </c>
      <c r="J118" s="7">
        <f t="shared" si="157"/>
        <v>0.24115505706414825</v>
      </c>
      <c r="K118" s="7">
        <f t="shared" si="157"/>
        <v>0.22485096994547965</v>
      </c>
      <c r="L118" s="7">
        <f t="shared" ref="L118:M118" si="158">AVERAGE(L61:L65)*32.258/AVERAGE(L4:L8)</f>
        <v>0.37574503162912393</v>
      </c>
      <c r="M118" s="7">
        <f t="shared" si="158"/>
        <v>0.38557134075541299</v>
      </c>
      <c r="N118" s="7">
        <f t="shared" ref="N118:O118" si="159">AVERAGE(N61:N65)*32.258/AVERAGE(N4:N8)</f>
        <v>0.48800265452405778</v>
      </c>
      <c r="O118" s="7">
        <f t="shared" si="159"/>
        <v>0.45571801935438305</v>
      </c>
      <c r="P118" s="7"/>
    </row>
    <row r="119" spans="1:16" x14ac:dyDescent="0.2">
      <c r="A119" s="4"/>
      <c r="B119" s="5">
        <v>30</v>
      </c>
      <c r="C119" s="7">
        <f t="shared" ref="C119:K119" si="160">AVERAGE(C67:C71)*32.258/AVERAGE(C4:C8)</f>
        <v>0.52496862880695305</v>
      </c>
      <c r="D119" s="7">
        <f t="shared" si="160"/>
        <v>1.555902939213659</v>
      </c>
      <c r="E119" s="7">
        <f t="shared" si="160"/>
        <v>0.74012006061861146</v>
      </c>
      <c r="F119" s="7">
        <f t="shared" si="160"/>
        <v>0.21998559366462211</v>
      </c>
      <c r="G119" s="7">
        <f t="shared" si="160"/>
        <v>0.20512484259158867</v>
      </c>
      <c r="H119" s="7">
        <f t="shared" si="160"/>
        <v>0.27661291443986602</v>
      </c>
      <c r="I119" s="7">
        <f t="shared" si="160"/>
        <v>0.24359927021410271</v>
      </c>
      <c r="J119" s="7">
        <f t="shared" si="160"/>
        <v>0.25614915387642684</v>
      </c>
      <c r="K119" s="7">
        <f t="shared" si="160"/>
        <v>0.21263080853539926</v>
      </c>
      <c r="L119" s="7">
        <f t="shared" ref="L119:M119" si="161">AVERAGE(L67:L71)*32.258/AVERAGE(L4:L8)</f>
        <v>0.41253125850190525</v>
      </c>
      <c r="M119" s="7">
        <f t="shared" si="161"/>
        <v>0.43278415799076964</v>
      </c>
      <c r="N119" s="7">
        <f t="shared" ref="N119:O119" si="162">AVERAGE(N67:N71)*32.258/AVERAGE(N4:N8)</f>
        <v>0.5527101888255902</v>
      </c>
      <c r="O119" s="7">
        <f t="shared" si="162"/>
        <v>0.4896256100801557</v>
      </c>
      <c r="P119" s="7"/>
    </row>
    <row r="120" spans="1:16" x14ac:dyDescent="0.2">
      <c r="A120" s="4"/>
      <c r="B120" s="5">
        <v>40</v>
      </c>
      <c r="C120" s="7">
        <f t="shared" ref="C120:K120" si="163">AVERAGE(C73:C77)*32.258/AVERAGE(C4:C8)</f>
        <v>0.6074449969237562</v>
      </c>
      <c r="D120" s="7">
        <f t="shared" si="163"/>
        <v>1.6643060128473974</v>
      </c>
      <c r="E120" s="7">
        <f>AVERAGE(E73:E77)*32.258/AVERAGE(E4:E8)</f>
        <v>0.77807493552213003</v>
      </c>
      <c r="F120" s="7">
        <f t="shared" si="163"/>
        <v>0.24175500137101705</v>
      </c>
      <c r="G120" s="7">
        <f t="shared" si="163"/>
        <v>0.21857565194185677</v>
      </c>
      <c r="H120" s="7">
        <f t="shared" si="163"/>
        <v>0.2778589185589645</v>
      </c>
      <c r="I120" s="7">
        <f t="shared" si="163"/>
        <v>0.26186921548016051</v>
      </c>
      <c r="J120" s="7">
        <f t="shared" si="163"/>
        <v>0.25365013774104711</v>
      </c>
      <c r="K120" s="7">
        <f t="shared" si="163"/>
        <v>0.23951516363757619</v>
      </c>
      <c r="L120" s="7">
        <f t="shared" ref="L120:M120" si="164">AVERAGE(L73:L77)*32.258/AVERAGE(L4:L8)</f>
        <v>0.43486575338895117</v>
      </c>
      <c r="M120" s="7">
        <f t="shared" si="164"/>
        <v>0.47475110664441988</v>
      </c>
      <c r="N120" s="7">
        <f t="shared" ref="N120:O120" si="165">AVERAGE(N73:N77)*32.258/AVERAGE(N4:N8)</f>
        <v>0.61606964949584087</v>
      </c>
      <c r="O120" s="7">
        <f t="shared" si="165"/>
        <v>0.55472818427363879</v>
      </c>
      <c r="P120" s="7"/>
    </row>
    <row r="121" spans="1:16" x14ac:dyDescent="0.2">
      <c r="A121" s="4"/>
      <c r="B121" s="5">
        <v>50</v>
      </c>
      <c r="C121" s="7">
        <f t="shared" ref="C121:K121" si="166">AVERAGE(C79:C83)*32.258/AVERAGE(C4:C8)</f>
        <v>0.67813902673815907</v>
      </c>
      <c r="D121" s="7">
        <f t="shared" si="166"/>
        <v>1.7650571048128718</v>
      </c>
      <c r="E121" s="7">
        <f t="shared" si="166"/>
        <v>0.83627241037419175</v>
      </c>
      <c r="F121" s="7">
        <f t="shared" si="166"/>
        <v>0.24633803457236333</v>
      </c>
      <c r="G121" s="7">
        <f t="shared" si="166"/>
        <v>0.23875186596725895</v>
      </c>
      <c r="H121" s="7">
        <f t="shared" si="166"/>
        <v>0.28658094739265388</v>
      </c>
      <c r="I121" s="7">
        <f t="shared" si="166"/>
        <v>0.26430520818230147</v>
      </c>
      <c r="J121" s="7">
        <f t="shared" si="166"/>
        <v>0.25614915387642684</v>
      </c>
      <c r="K121" s="7">
        <f t="shared" si="166"/>
        <v>0.25295734118866464</v>
      </c>
      <c r="L121" s="7">
        <f t="shared" ref="L121:M121" si="167">AVERAGE(L79:L83)*32.258/AVERAGE(L4:L8)</f>
        <v>0.46376921736042209</v>
      </c>
      <c r="M121" s="7">
        <f t="shared" si="167"/>
        <v>0.53114419389776246</v>
      </c>
      <c r="N121" s="7">
        <f t="shared" ref="N121:O121" si="168">AVERAGE(N79:N83)*32.258/AVERAGE(N4:N8)</f>
        <v>0.67942911016609153</v>
      </c>
      <c r="O121" s="7">
        <f t="shared" si="168"/>
        <v>0.61033663306390573</v>
      </c>
      <c r="P121" s="7"/>
    </row>
    <row r="122" spans="1:16" x14ac:dyDescent="0.2">
      <c r="A122" s="4"/>
      <c r="B122" s="5">
        <v>60</v>
      </c>
      <c r="C122" s="7">
        <f t="shared" ref="C122:K122" si="169">AVERAGE(C85:C89)*32.258/AVERAGE(C4:C8)</f>
        <v>0.7226500825472274</v>
      </c>
      <c r="D122" s="7">
        <f t="shared" si="169"/>
        <v>1.8492289031637743</v>
      </c>
      <c r="E122" s="7">
        <f t="shared" si="169"/>
        <v>0.86790147279379037</v>
      </c>
      <c r="F122" s="7">
        <f t="shared" si="169"/>
        <v>0.2623786507770754</v>
      </c>
      <c r="G122" s="7">
        <f t="shared" si="169"/>
        <v>0.24996087375914905</v>
      </c>
      <c r="H122" s="7">
        <f t="shared" si="169"/>
        <v>0.30527100917913141</v>
      </c>
      <c r="I122" s="7">
        <f t="shared" si="169"/>
        <v>0.27770316804407713</v>
      </c>
      <c r="J122" s="7">
        <f t="shared" si="169"/>
        <v>0.26489571035025611</v>
      </c>
      <c r="K122" s="7">
        <f t="shared" si="169"/>
        <v>0.26028943803471261</v>
      </c>
      <c r="L122" s="7">
        <f t="shared" ref="L122:M122" si="170">AVERAGE(L85:L89)*32.258/AVERAGE(L4:L8)</f>
        <v>0.5084382071345136</v>
      </c>
      <c r="M122" s="7">
        <f t="shared" si="170"/>
        <v>0.56261940538800037</v>
      </c>
      <c r="N122" s="7">
        <f t="shared" ref="N122:O122" si="171">AVERAGE(N85:N89)*32.258/AVERAGE(N4:N8)</f>
        <v>0.69560599374147469</v>
      </c>
      <c r="O122" s="7">
        <f t="shared" si="171"/>
        <v>0.63610640201549284</v>
      </c>
      <c r="P122" s="7"/>
    </row>
    <row r="123" spans="1:16" x14ac:dyDescent="0.2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x14ac:dyDescent="0.2">
      <c r="A124" s="16" t="s">
        <v>22</v>
      </c>
      <c r="B124" s="16"/>
      <c r="C124" s="16"/>
      <c r="D124" s="16"/>
      <c r="E124" s="17"/>
      <c r="F124" s="18"/>
      <c r="G124" s="19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51" x14ac:dyDescent="0.2">
      <c r="A125" s="19"/>
      <c r="B125" s="20" t="s">
        <v>2</v>
      </c>
      <c r="C125" s="20" t="s">
        <v>8</v>
      </c>
      <c r="D125" s="20" t="s">
        <v>9</v>
      </c>
      <c r="E125" s="20" t="s">
        <v>10</v>
      </c>
      <c r="F125" s="20" t="s">
        <v>11</v>
      </c>
      <c r="G125" s="20" t="s">
        <v>12</v>
      </c>
      <c r="H125" s="3" t="s">
        <v>23</v>
      </c>
      <c r="I125" s="3" t="s">
        <v>24</v>
      </c>
      <c r="J125" s="3" t="s">
        <v>25</v>
      </c>
      <c r="K125" s="3" t="s">
        <v>26</v>
      </c>
      <c r="L125" s="3" t="s">
        <v>28</v>
      </c>
      <c r="M125" s="3" t="s">
        <v>27</v>
      </c>
      <c r="N125" s="3" t="s">
        <v>29</v>
      </c>
      <c r="O125" s="3" t="s">
        <v>30</v>
      </c>
      <c r="P125" s="5"/>
    </row>
    <row r="126" spans="1:16" x14ac:dyDescent="0.2">
      <c r="A126" s="21"/>
      <c r="B126" s="22">
        <v>0</v>
      </c>
      <c r="C126" s="23">
        <f t="shared" ref="C126:K126" si="172">STDEV(C49:C53)*32.35/AVERAGE(C4:C8)</f>
        <v>0</v>
      </c>
      <c r="D126" s="23">
        <f t="shared" si="172"/>
        <v>0</v>
      </c>
      <c r="E126" s="23">
        <f t="shared" si="172"/>
        <v>0</v>
      </c>
      <c r="F126" s="23">
        <f t="shared" si="172"/>
        <v>0</v>
      </c>
      <c r="G126" s="23">
        <f t="shared" si="172"/>
        <v>0</v>
      </c>
      <c r="H126" s="23">
        <f t="shared" si="172"/>
        <v>0</v>
      </c>
      <c r="I126" s="23">
        <f t="shared" si="172"/>
        <v>0</v>
      </c>
      <c r="J126" s="23">
        <f t="shared" si="172"/>
        <v>0</v>
      </c>
      <c r="K126" s="23">
        <f t="shared" si="172"/>
        <v>0</v>
      </c>
      <c r="L126" s="23">
        <f t="shared" ref="L126:M126" si="173">STDEV(L49:L53)*32.35/AVERAGE(L4:L8)</f>
        <v>0</v>
      </c>
      <c r="M126" s="23">
        <f t="shared" si="173"/>
        <v>0</v>
      </c>
      <c r="N126" s="23">
        <f t="shared" ref="N126:O126" si="174">STDEV(N49:N53)*32.35/AVERAGE(N4:N8)</f>
        <v>0</v>
      </c>
      <c r="O126" s="23">
        <f t="shared" si="174"/>
        <v>0</v>
      </c>
      <c r="P126" s="5"/>
    </row>
    <row r="127" spans="1:16" x14ac:dyDescent="0.2">
      <c r="A127" s="21"/>
      <c r="B127" s="22">
        <v>10</v>
      </c>
      <c r="C127" s="23">
        <f t="shared" ref="C127:K127" si="175">STDEV(C55:C59)*32.35/AVERAGE(C10:C14)</f>
        <v>1.471583741590432E-2</v>
      </c>
      <c r="D127" s="23">
        <f t="shared" si="175"/>
        <v>0.44240415716318271</v>
      </c>
      <c r="E127" s="23">
        <f t="shared" si="175"/>
        <v>0.16624250485655565</v>
      </c>
      <c r="F127" s="23">
        <f t="shared" si="175"/>
        <v>6.1299876288924684E-3</v>
      </c>
      <c r="G127" s="23">
        <f t="shared" si="175"/>
        <v>1.7399782326552472E-2</v>
      </c>
      <c r="H127" s="23">
        <f t="shared" si="175"/>
        <v>6.7712078369025125E-2</v>
      </c>
      <c r="I127" s="23">
        <f t="shared" si="175"/>
        <v>1.5109488725754796E-2</v>
      </c>
      <c r="J127" s="23">
        <f t="shared" si="175"/>
        <v>3.1542561599785031E-2</v>
      </c>
      <c r="K127" s="23">
        <f t="shared" si="175"/>
        <v>1.4935250930074702E-2</v>
      </c>
      <c r="L127" s="23">
        <f t="shared" ref="L127:M127" si="176">STDEV(L55:L59)*32.35/AVERAGE(L10:L14)</f>
        <v>1.1944155011027713E-2</v>
      </c>
      <c r="M127" s="23">
        <f t="shared" si="176"/>
        <v>1.3171937345676553E-2</v>
      </c>
      <c r="N127" s="23">
        <f t="shared" ref="N127:O127" si="177">STDEV(N55:N59)*32.35/AVERAGE(N10:N14)</f>
        <v>1.9050038541012879E-2</v>
      </c>
      <c r="O127" s="23">
        <f t="shared" si="177"/>
        <v>1.4963505915801905E-2</v>
      </c>
    </row>
    <row r="128" spans="1:16" x14ac:dyDescent="0.2">
      <c r="A128" s="21"/>
      <c r="B128" s="22">
        <v>20</v>
      </c>
      <c r="C128" s="23">
        <f t="shared" ref="C128:K128" si="178">STDEV(C61:C65)*32.35/AVERAGE(C16:C20)</f>
        <v>2.9233485854277881E-2</v>
      </c>
      <c r="D128" s="23">
        <f t="shared" si="178"/>
        <v>0.38110891808380826</v>
      </c>
      <c r="E128" s="23">
        <f t="shared" si="178"/>
        <v>0.20652115631569598</v>
      </c>
      <c r="F128" s="23">
        <f t="shared" si="178"/>
        <v>1.9971337992688323E-2</v>
      </c>
      <c r="G128" s="23">
        <f t="shared" si="178"/>
        <v>1.4437977752353722E-2</v>
      </c>
      <c r="H128" s="23">
        <f t="shared" si="178"/>
        <v>5.7554243312874676E-2</v>
      </c>
      <c r="I128" s="23">
        <f t="shared" si="178"/>
        <v>1.079298304712263E-2</v>
      </c>
      <c r="J128" s="23">
        <f t="shared" si="178"/>
        <v>2.5464729524966433E-2</v>
      </c>
      <c r="K128" s="23">
        <f t="shared" si="178"/>
        <v>1.32846778599237E-2</v>
      </c>
      <c r="L128" s="23">
        <f t="shared" ref="L128:M128" si="179">STDEV(L61:L65)*32.35/AVERAGE(L16:L20)</f>
        <v>1.4585066211305142E-2</v>
      </c>
      <c r="M128" s="23">
        <f t="shared" si="179"/>
        <v>6.1383537919293381E-3</v>
      </c>
      <c r="N128" s="23">
        <f t="shared" ref="N128:O128" si="180">STDEV(N61:N65)*32.35/AVERAGE(N16:N20)</f>
        <v>1.1492535219565871E-2</v>
      </c>
      <c r="O128" s="23">
        <f t="shared" si="180"/>
        <v>8.3703162133055183E-3</v>
      </c>
    </row>
    <row r="129" spans="1:15" x14ac:dyDescent="0.2">
      <c r="A129" s="21"/>
      <c r="B129" s="22">
        <v>30</v>
      </c>
      <c r="C129" s="23">
        <f t="shared" ref="C129:K129" si="181">STDEV(C67:C71)*32.35/AVERAGE(C22:C26)</f>
        <v>4.1538221724016111E-2</v>
      </c>
      <c r="D129" s="23">
        <f t="shared" si="181"/>
        <v>0.31505315236470732</v>
      </c>
      <c r="E129" s="23">
        <f t="shared" si="181"/>
        <v>0.21262333047743534</v>
      </c>
      <c r="F129" s="23">
        <f t="shared" si="181"/>
        <v>2.1742890306120404E-2</v>
      </c>
      <c r="G129" s="23">
        <f t="shared" si="181"/>
        <v>2.1708497878206813E-2</v>
      </c>
      <c r="H129" s="23">
        <f t="shared" si="181"/>
        <v>7.2078435918748809E-2</v>
      </c>
      <c r="I129" s="23">
        <f t="shared" si="181"/>
        <v>1.1675444445264659E-2</v>
      </c>
      <c r="J129" s="23">
        <f t="shared" si="181"/>
        <v>1.9050390349140429E-2</v>
      </c>
      <c r="K129" s="23">
        <f t="shared" si="181"/>
        <v>2.5134139640684009E-2</v>
      </c>
      <c r="L129" s="23">
        <f t="shared" ref="L129:M129" si="182">STDEV(L67:L71)*32.35/AVERAGE(L22:L26)</f>
        <v>2.6178200113130334E-2</v>
      </c>
      <c r="M129" s="23">
        <f t="shared" si="182"/>
        <v>1.4032137870410945E-2</v>
      </c>
      <c r="N129" s="23">
        <f t="shared" ref="N129:O129" si="183">STDEV(N67:N71)*32.35/AVERAGE(N22:N26)</f>
        <v>2.0253324468869877E-2</v>
      </c>
      <c r="O129" s="23">
        <f t="shared" si="183"/>
        <v>1.5463586977383335E-2</v>
      </c>
    </row>
    <row r="130" spans="1:15" x14ac:dyDescent="0.2">
      <c r="A130" s="21"/>
      <c r="B130" s="22">
        <v>40</v>
      </c>
      <c r="C130" s="23">
        <f t="shared" ref="C130:K130" si="184">STDEV(C73:C77)*32.35/AVERAGE(C28:C32)</f>
        <v>5.4359480760375514E-2</v>
      </c>
      <c r="D130" s="23">
        <f t="shared" si="184"/>
        <v>0.26964024265618802</v>
      </c>
      <c r="E130" s="23">
        <f t="shared" si="184"/>
        <v>0.21358159419560102</v>
      </c>
      <c r="F130" s="23">
        <f t="shared" si="184"/>
        <v>2.0854352990232052E-2</v>
      </c>
      <c r="G130" s="23">
        <f t="shared" si="184"/>
        <v>2.2304682440063499E-2</v>
      </c>
      <c r="H130" s="23">
        <f t="shared" si="184"/>
        <v>7.2893597269846247E-2</v>
      </c>
      <c r="I130" s="23">
        <f t="shared" si="184"/>
        <v>8.6383431409185352E-3</v>
      </c>
      <c r="J130" s="23">
        <f t="shared" si="184"/>
        <v>8.5281948696872209E-3</v>
      </c>
      <c r="K130" s="23">
        <f t="shared" si="184"/>
        <v>9.8944850334324024E-3</v>
      </c>
      <c r="L130" s="23">
        <f t="shared" ref="L130:M130" si="185">STDEV(L73:L77)*32.35/AVERAGE(L28:L32)</f>
        <v>1.6250104121243388E-2</v>
      </c>
      <c r="M130" s="23">
        <f t="shared" si="185"/>
        <v>1.4128921721301146E-2</v>
      </c>
      <c r="N130" s="23">
        <f t="shared" ref="N130:O130" si="186">STDEV(N73:N77)*32.35/AVERAGE(N28:N32)</f>
        <v>1.8560006694243202E-2</v>
      </c>
      <c r="O130" s="23">
        <f t="shared" si="186"/>
        <v>1.0467927168749603E-2</v>
      </c>
    </row>
    <row r="131" spans="1:15" x14ac:dyDescent="0.2">
      <c r="A131" s="21"/>
      <c r="B131" s="22">
        <v>50</v>
      </c>
      <c r="C131" s="23">
        <f t="shared" ref="C131:K131" si="187">STDEV(C79:C83)*32.35/AVERAGE(C34:C38)</f>
        <v>3.7736197815578493E-2</v>
      </c>
      <c r="D131" s="23">
        <f t="shared" si="187"/>
        <v>0.21092165257867918</v>
      </c>
      <c r="E131" s="23">
        <f t="shared" si="187"/>
        <v>0.21986622878686393</v>
      </c>
      <c r="F131" s="23">
        <f t="shared" si="187"/>
        <v>1.7538033455127895E-2</v>
      </c>
      <c r="G131" s="23">
        <f t="shared" si="187"/>
        <v>1.9851295940087905E-2</v>
      </c>
      <c r="H131" s="23">
        <f t="shared" si="187"/>
        <v>6.5478378481766714E-2</v>
      </c>
      <c r="I131" s="23">
        <f t="shared" si="187"/>
        <v>6.2230937614232715E-3</v>
      </c>
      <c r="J131" s="23">
        <f t="shared" si="187"/>
        <v>1.050966761395215E-2</v>
      </c>
      <c r="K131" s="23">
        <f t="shared" si="187"/>
        <v>1.140740532905064E-2</v>
      </c>
      <c r="L131" s="23">
        <f t="shared" ref="L131:M131" si="188">STDEV(L79:L83)*32.35/AVERAGE(L34:L38)</f>
        <v>1.2546850299428791E-2</v>
      </c>
      <c r="M131" s="23">
        <f t="shared" si="188"/>
        <v>2.1228789256854477E-2</v>
      </c>
      <c r="N131" s="23">
        <f t="shared" ref="N131:O131" si="189">STDEV(N79:N83)*32.35/AVERAGE(N34:N38)</f>
        <v>2.2975687682254713E-2</v>
      </c>
      <c r="O131" s="23">
        <f t="shared" si="189"/>
        <v>3.0879451829988764E-2</v>
      </c>
    </row>
    <row r="132" spans="1:15" x14ac:dyDescent="0.2">
      <c r="A132" s="21"/>
      <c r="B132" s="22">
        <v>60</v>
      </c>
      <c r="C132" s="23">
        <f t="shared" ref="C132:K132" si="190">STDEV(C85:C89)*32.35/AVERAGE(C40:C44)</f>
        <v>6.4353835892082267E-2</v>
      </c>
      <c r="D132" s="23">
        <f t="shared" si="190"/>
        <v>0.18470189222825298</v>
      </c>
      <c r="E132" s="23">
        <f t="shared" si="190"/>
        <v>0.23743926915776672</v>
      </c>
      <c r="F132" s="23">
        <f t="shared" si="190"/>
        <v>8.4430678079027537E-3</v>
      </c>
      <c r="G132" s="23">
        <f t="shared" si="190"/>
        <v>2.190523939530617E-2</v>
      </c>
      <c r="H132" s="23">
        <f t="shared" si="190"/>
        <v>6.5225779601365372E-2</v>
      </c>
      <c r="I132" s="23">
        <f t="shared" si="190"/>
        <v>4.8556269145548078E-3</v>
      </c>
      <c r="J132" s="23">
        <f t="shared" si="190"/>
        <v>1.0169077718660846E-2</v>
      </c>
      <c r="K132" s="23">
        <f t="shared" si="190"/>
        <v>1.1373705461017887E-2</v>
      </c>
      <c r="L132" s="23">
        <f t="shared" ref="L132:M132" si="191">STDEV(L85:L89)*32.35/AVERAGE(L40:L44)</f>
        <v>8.9703862908476137E-3</v>
      </c>
      <c r="M132" s="23">
        <f t="shared" si="191"/>
        <v>2.0457354583900678E-2</v>
      </c>
      <c r="N132" s="23">
        <f t="shared" ref="N132:O132" si="192">STDEV(N85:N89)*32.35/AVERAGE(N40:N44)</f>
        <v>2.4795016919993782E-2</v>
      </c>
      <c r="O132" s="23">
        <f t="shared" si="192"/>
        <v>1.2056321183735289E-2</v>
      </c>
    </row>
  </sheetData>
  <mergeCells count="2">
    <mergeCell ref="A2:P2"/>
    <mergeCell ref="A47:P4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6D92F-12AE-C54E-A0AF-B21C9A986052}">
  <dimension ref="A1:I197"/>
  <sheetViews>
    <sheetView topLeftCell="A117" zoomScale="75" zoomScaleNormal="125" workbookViewId="0">
      <selection activeCell="G130" sqref="G130:G148"/>
    </sheetView>
  </sheetViews>
  <sheetFormatPr baseColWidth="10" defaultRowHeight="16" x14ac:dyDescent="0.2"/>
  <cols>
    <col min="3" max="3" width="16.33203125" customWidth="1"/>
    <col min="4" max="4" width="14.83203125" customWidth="1"/>
    <col min="5" max="5" width="14" customWidth="1"/>
    <col min="6" max="6" width="15" customWidth="1"/>
    <col min="7" max="7" width="16" customWidth="1"/>
    <col min="8" max="8" width="12.5" customWidth="1"/>
    <col min="9" max="9" width="12.83203125" customWidth="1"/>
  </cols>
  <sheetData>
    <row r="1" spans="1:9" x14ac:dyDescent="0.2">
      <c r="A1" s="1" t="s">
        <v>7</v>
      </c>
      <c r="B1" s="2"/>
      <c r="C1" s="3"/>
      <c r="D1" s="3"/>
      <c r="E1" s="3"/>
      <c r="F1" s="3"/>
      <c r="G1" s="2"/>
      <c r="H1" s="2"/>
    </row>
    <row r="2" spans="1:9" x14ac:dyDescent="0.2">
      <c r="A2" s="28" t="s">
        <v>0</v>
      </c>
      <c r="B2" s="28"/>
      <c r="C2" s="28"/>
      <c r="D2" s="28"/>
      <c r="E2" s="28"/>
      <c r="F2" s="2"/>
      <c r="G2" s="2"/>
      <c r="H2" s="2"/>
    </row>
    <row r="3" spans="1:9" ht="51" x14ac:dyDescent="0.2">
      <c r="A3" s="2" t="s">
        <v>1</v>
      </c>
      <c r="B3" s="3" t="s">
        <v>2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31</v>
      </c>
      <c r="I3" s="3" t="s">
        <v>32</v>
      </c>
    </row>
    <row r="4" spans="1:9" x14ac:dyDescent="0.2">
      <c r="A4" s="4">
        <v>1</v>
      </c>
      <c r="B4" s="5">
        <v>0</v>
      </c>
      <c r="C4" s="10">
        <v>0.32800000000000001</v>
      </c>
      <c r="D4" s="10">
        <v>0.33600000000000002</v>
      </c>
      <c r="E4" s="11">
        <v>0.34699999999999998</v>
      </c>
      <c r="F4" s="11">
        <v>0.38900000000000001</v>
      </c>
      <c r="G4" s="11">
        <v>0.4</v>
      </c>
      <c r="H4" s="11">
        <v>0.33900000000000002</v>
      </c>
      <c r="I4" s="11">
        <v>0.33400000000000002</v>
      </c>
    </row>
    <row r="5" spans="1:9" x14ac:dyDescent="0.2">
      <c r="A5" s="4">
        <v>2</v>
      </c>
      <c r="B5" s="5">
        <v>0</v>
      </c>
      <c r="C5" s="10">
        <v>0.33200000000000002</v>
      </c>
      <c r="D5" s="10">
        <v>0.33900000000000002</v>
      </c>
      <c r="E5" s="11">
        <v>0.33900000000000002</v>
      </c>
      <c r="F5" s="11">
        <v>0.38800000000000001</v>
      </c>
      <c r="G5" s="11">
        <v>0.39200000000000002</v>
      </c>
      <c r="H5" s="11">
        <v>0.32100000000000001</v>
      </c>
      <c r="I5" s="11">
        <v>0.32500000000000001</v>
      </c>
    </row>
    <row r="6" spans="1:9" x14ac:dyDescent="0.2">
      <c r="A6" s="4">
        <v>3</v>
      </c>
      <c r="B6" s="5">
        <v>0</v>
      </c>
      <c r="C6" s="10">
        <v>0.33</v>
      </c>
      <c r="D6" s="10">
        <v>0.34499999999999997</v>
      </c>
      <c r="E6" s="11">
        <v>0.34399999999999997</v>
      </c>
      <c r="F6" s="11">
        <v>0.38900000000000001</v>
      </c>
      <c r="G6" s="11">
        <v>0.41399999999999998</v>
      </c>
      <c r="H6" s="11">
        <v>0.33200000000000002</v>
      </c>
      <c r="I6" s="11">
        <v>0.33500000000000002</v>
      </c>
    </row>
    <row r="7" spans="1:9" x14ac:dyDescent="0.2">
      <c r="A7" s="4">
        <v>4</v>
      </c>
      <c r="B7" s="5">
        <v>0</v>
      </c>
      <c r="C7" s="10">
        <v>0.32100000000000001</v>
      </c>
      <c r="D7" s="10">
        <v>0.35099999999999998</v>
      </c>
      <c r="E7" s="11">
        <v>0.35299999999999998</v>
      </c>
      <c r="F7" s="11">
        <v>0.38900000000000001</v>
      </c>
      <c r="G7" s="11">
        <v>0.40200000000000002</v>
      </c>
      <c r="H7" s="11">
        <v>0.32</v>
      </c>
      <c r="I7" s="11">
        <v>0.33900000000000002</v>
      </c>
    </row>
    <row r="8" spans="1:9" x14ac:dyDescent="0.2">
      <c r="A8" s="4">
        <v>5</v>
      </c>
      <c r="B8" s="5">
        <v>0</v>
      </c>
      <c r="C8" s="10">
        <v>0.33800000000000002</v>
      </c>
      <c r="D8" s="10">
        <v>0.34499999999999997</v>
      </c>
      <c r="E8" s="11">
        <v>0.34799999999999998</v>
      </c>
      <c r="F8" s="11">
        <v>0.39300000000000002</v>
      </c>
      <c r="G8" s="11">
        <v>0.39700000000000002</v>
      </c>
      <c r="H8" s="11">
        <v>0.32700000000000001</v>
      </c>
      <c r="I8" s="11">
        <v>0.33300000000000002</v>
      </c>
    </row>
    <row r="9" spans="1:9" x14ac:dyDescent="0.2">
      <c r="A9" s="4"/>
      <c r="B9" s="5"/>
      <c r="E9" s="11"/>
      <c r="F9" s="11"/>
      <c r="G9" s="11"/>
    </row>
    <row r="10" spans="1:9" x14ac:dyDescent="0.2">
      <c r="A10" s="4">
        <v>1</v>
      </c>
      <c r="B10" s="5">
        <v>10</v>
      </c>
      <c r="C10" s="10">
        <v>0.44900000000000001</v>
      </c>
      <c r="D10" s="10">
        <v>0.49299999999999999</v>
      </c>
      <c r="E10" s="11">
        <v>0.498</v>
      </c>
      <c r="F10" s="11">
        <v>0.45200000000000001</v>
      </c>
      <c r="G10" s="11">
        <v>0.47799999999999998</v>
      </c>
      <c r="H10" s="11">
        <v>0.45700000000000002</v>
      </c>
      <c r="I10" s="11">
        <v>0.44400000000000001</v>
      </c>
    </row>
    <row r="11" spans="1:9" x14ac:dyDescent="0.2">
      <c r="A11" s="4">
        <v>2</v>
      </c>
      <c r="B11" s="5">
        <v>10</v>
      </c>
      <c r="C11" s="10">
        <v>0.45100000000000001</v>
      </c>
      <c r="D11" s="10">
        <v>0.47099999999999997</v>
      </c>
      <c r="E11" s="11">
        <v>0.48799999999999999</v>
      </c>
      <c r="F11" s="11">
        <v>0.45500000000000002</v>
      </c>
      <c r="G11" s="11">
        <v>0.46600000000000003</v>
      </c>
      <c r="H11" s="11">
        <v>0.43099999999999999</v>
      </c>
      <c r="I11" s="11">
        <v>0.44</v>
      </c>
    </row>
    <row r="12" spans="1:9" x14ac:dyDescent="0.2">
      <c r="A12" s="4">
        <v>3</v>
      </c>
      <c r="B12" s="5">
        <v>10</v>
      </c>
      <c r="C12" s="10">
        <v>0.45800000000000002</v>
      </c>
      <c r="D12" s="10">
        <v>0.67100000000000004</v>
      </c>
      <c r="E12" s="11">
        <v>0.497</v>
      </c>
      <c r="F12" s="11">
        <v>0.46</v>
      </c>
      <c r="G12" s="11">
        <v>0.48499999999999999</v>
      </c>
      <c r="H12" s="11">
        <v>0.441</v>
      </c>
      <c r="I12" s="11">
        <v>0.45</v>
      </c>
    </row>
    <row r="13" spans="1:9" x14ac:dyDescent="0.2">
      <c r="A13" s="4">
        <v>4</v>
      </c>
      <c r="B13" s="5">
        <v>10</v>
      </c>
      <c r="C13" s="10">
        <v>0.437</v>
      </c>
      <c r="D13" s="10">
        <v>0.67</v>
      </c>
      <c r="E13" s="11">
        <v>0.54200000000000004</v>
      </c>
      <c r="F13" s="11">
        <v>0.45900000000000002</v>
      </c>
      <c r="G13" s="11">
        <v>0.45800000000000002</v>
      </c>
      <c r="H13" s="11">
        <v>0.432</v>
      </c>
      <c r="I13" s="11">
        <v>0.44700000000000001</v>
      </c>
    </row>
    <row r="14" spans="1:9" x14ac:dyDescent="0.2">
      <c r="A14" s="4">
        <v>5</v>
      </c>
      <c r="B14" s="5">
        <v>10</v>
      </c>
      <c r="C14" s="10">
        <v>0.46100000000000002</v>
      </c>
      <c r="D14" s="10">
        <v>0.50800000000000001</v>
      </c>
      <c r="E14" s="11">
        <v>0.54500000000000004</v>
      </c>
      <c r="F14" s="11">
        <v>0.45900000000000002</v>
      </c>
      <c r="G14" s="11">
        <v>0.45200000000000001</v>
      </c>
      <c r="H14" s="11">
        <v>0.432</v>
      </c>
      <c r="I14" s="11">
        <v>0.438</v>
      </c>
    </row>
    <row r="15" spans="1:9" x14ac:dyDescent="0.2">
      <c r="A15" s="4"/>
      <c r="B15" s="5"/>
      <c r="E15" s="11"/>
      <c r="F15" s="11"/>
      <c r="G15" s="11"/>
    </row>
    <row r="16" spans="1:9" x14ac:dyDescent="0.2">
      <c r="A16" s="4">
        <v>1</v>
      </c>
      <c r="B16" s="5">
        <v>20</v>
      </c>
      <c r="C16" s="10">
        <v>0.46500000000000002</v>
      </c>
      <c r="D16" s="10">
        <v>0.52600000000000002</v>
      </c>
      <c r="E16" s="11">
        <v>0.52300000000000002</v>
      </c>
      <c r="F16" s="11">
        <v>0.48799999999999999</v>
      </c>
      <c r="G16" s="11">
        <v>0.50800000000000001</v>
      </c>
      <c r="H16" s="11">
        <v>0.45700000000000002</v>
      </c>
      <c r="I16" s="11">
        <v>0.443</v>
      </c>
    </row>
    <row r="17" spans="1:9" x14ac:dyDescent="0.2">
      <c r="A17" s="4">
        <v>2</v>
      </c>
      <c r="B17" s="5">
        <v>20</v>
      </c>
      <c r="C17" s="10">
        <v>0.46300000000000002</v>
      </c>
      <c r="D17" s="10">
        <v>0.495</v>
      </c>
      <c r="E17" s="11">
        <v>0.5</v>
      </c>
      <c r="F17" s="11">
        <v>0.48199999999999998</v>
      </c>
      <c r="G17" s="11">
        <v>0.49399999999999999</v>
      </c>
      <c r="H17" s="11">
        <v>0.435</v>
      </c>
      <c r="I17" s="11">
        <v>0.436</v>
      </c>
    </row>
    <row r="18" spans="1:9" x14ac:dyDescent="0.2">
      <c r="A18" s="4">
        <v>3</v>
      </c>
      <c r="B18" s="5">
        <v>20</v>
      </c>
      <c r="C18" s="10">
        <v>0.46300000000000002</v>
      </c>
      <c r="D18" s="10">
        <v>0.70299999999999996</v>
      </c>
      <c r="E18" s="11">
        <v>0.52400000000000002</v>
      </c>
      <c r="F18" s="11">
        <v>0.496</v>
      </c>
      <c r="G18" s="11">
        <v>0.51800000000000002</v>
      </c>
      <c r="H18" s="11">
        <v>0.44600000000000001</v>
      </c>
      <c r="I18" s="11">
        <v>0.45</v>
      </c>
    </row>
    <row r="19" spans="1:9" x14ac:dyDescent="0.2">
      <c r="A19" s="4">
        <v>4</v>
      </c>
      <c r="B19" s="5">
        <v>20</v>
      </c>
      <c r="C19" s="10">
        <v>0.44700000000000001</v>
      </c>
      <c r="D19" s="10">
        <v>0.68200000000000005</v>
      </c>
      <c r="E19" s="11">
        <v>0.59299999999999997</v>
      </c>
      <c r="F19" s="11">
        <v>0.498</v>
      </c>
      <c r="G19" s="11">
        <v>0.48299999999999998</v>
      </c>
      <c r="H19" s="11">
        <v>0.434</v>
      </c>
      <c r="I19" s="11">
        <v>0.45600000000000002</v>
      </c>
    </row>
    <row r="20" spans="1:9" x14ac:dyDescent="0.2">
      <c r="A20" s="4">
        <v>5</v>
      </c>
      <c r="B20" s="5">
        <v>20</v>
      </c>
      <c r="C20" s="10">
        <v>0.48099999999999998</v>
      </c>
      <c r="D20" s="10">
        <v>0.54400000000000004</v>
      </c>
      <c r="E20" s="11">
        <v>0.58399999999999996</v>
      </c>
      <c r="F20" s="11">
        <v>0.498</v>
      </c>
      <c r="G20" s="11">
        <v>0.48799999999999999</v>
      </c>
      <c r="H20" s="11">
        <v>0.443</v>
      </c>
      <c r="I20" s="11">
        <v>0.44400000000000001</v>
      </c>
    </row>
    <row r="21" spans="1:9" x14ac:dyDescent="0.2">
      <c r="A21" s="4"/>
      <c r="B21" s="5"/>
      <c r="E21" s="11"/>
      <c r="F21" s="11"/>
      <c r="G21" s="11"/>
    </row>
    <row r="22" spans="1:9" x14ac:dyDescent="0.2">
      <c r="A22" s="4">
        <v>1</v>
      </c>
      <c r="B22" s="5">
        <v>30</v>
      </c>
      <c r="C22" s="10">
        <v>0.47399999999999998</v>
      </c>
      <c r="D22" s="10">
        <v>0.54900000000000004</v>
      </c>
      <c r="E22" s="11">
        <v>0.53800000000000003</v>
      </c>
      <c r="F22" s="11">
        <v>0.5</v>
      </c>
      <c r="G22" s="11">
        <v>0.51600000000000001</v>
      </c>
      <c r="H22" s="11">
        <v>0.46</v>
      </c>
      <c r="I22" s="11">
        <v>0.45</v>
      </c>
    </row>
    <row r="23" spans="1:9" x14ac:dyDescent="0.2">
      <c r="A23" s="4">
        <v>2</v>
      </c>
      <c r="B23" s="5">
        <v>30</v>
      </c>
      <c r="C23" s="10">
        <v>0.47199999999999998</v>
      </c>
      <c r="D23" s="10">
        <v>0.51900000000000002</v>
      </c>
      <c r="E23" s="11">
        <v>0.51100000000000001</v>
      </c>
      <c r="F23" s="11">
        <v>0.499</v>
      </c>
      <c r="G23" s="11">
        <v>0.50600000000000001</v>
      </c>
      <c r="H23" s="11">
        <v>0.439</v>
      </c>
      <c r="I23" s="11">
        <v>0.44</v>
      </c>
    </row>
    <row r="24" spans="1:9" x14ac:dyDescent="0.2">
      <c r="A24" s="4">
        <v>3</v>
      </c>
      <c r="B24" s="5">
        <v>30</v>
      </c>
      <c r="C24" s="10">
        <v>0.47799999999999998</v>
      </c>
      <c r="D24" s="10">
        <v>0.71899999999999997</v>
      </c>
      <c r="E24" s="11">
        <v>0.54400000000000004</v>
      </c>
      <c r="F24" s="11">
        <v>0.51100000000000001</v>
      </c>
      <c r="G24" s="11">
        <v>0.52900000000000003</v>
      </c>
      <c r="H24" s="11">
        <v>0.44900000000000001</v>
      </c>
      <c r="I24" s="11">
        <v>0.45200000000000001</v>
      </c>
    </row>
    <row r="25" spans="1:9" x14ac:dyDescent="0.2">
      <c r="A25" s="4">
        <v>4</v>
      </c>
      <c r="B25" s="5">
        <v>30</v>
      </c>
      <c r="C25" s="10">
        <v>0.46300000000000002</v>
      </c>
      <c r="D25" s="10">
        <v>0.7</v>
      </c>
      <c r="E25" s="11">
        <v>0.59399999999999997</v>
      </c>
      <c r="F25" s="11">
        <v>0.50900000000000001</v>
      </c>
      <c r="G25" s="11">
        <v>0.498</v>
      </c>
      <c r="H25" s="11">
        <v>0.42699999999999999</v>
      </c>
      <c r="I25" s="11">
        <v>0.45900000000000002</v>
      </c>
    </row>
    <row r="26" spans="1:9" x14ac:dyDescent="0.2">
      <c r="A26" s="4">
        <v>5</v>
      </c>
      <c r="B26" s="5">
        <v>30</v>
      </c>
      <c r="C26" s="10">
        <v>0.497</v>
      </c>
      <c r="D26" s="10">
        <v>0.57099999999999995</v>
      </c>
      <c r="E26" s="11">
        <v>0.59699999999999998</v>
      </c>
      <c r="F26" s="11">
        <v>0.50700000000000001</v>
      </c>
      <c r="G26" s="11">
        <v>0.496</v>
      </c>
      <c r="H26" s="11">
        <v>0.443</v>
      </c>
      <c r="I26" s="11">
        <v>0.44900000000000001</v>
      </c>
    </row>
    <row r="27" spans="1:9" x14ac:dyDescent="0.2">
      <c r="A27" s="4"/>
      <c r="B27" s="5"/>
      <c r="E27" s="11"/>
      <c r="F27" s="11"/>
      <c r="G27" s="11"/>
    </row>
    <row r="28" spans="1:9" x14ac:dyDescent="0.2">
      <c r="A28" s="4">
        <v>1</v>
      </c>
      <c r="B28" s="5">
        <v>40</v>
      </c>
      <c r="C28" s="10">
        <v>0.47699999999999998</v>
      </c>
      <c r="D28" s="10">
        <v>0.56399999999999995</v>
      </c>
      <c r="E28" s="11">
        <v>0.55800000000000005</v>
      </c>
      <c r="F28" s="11">
        <v>0.50600000000000001</v>
      </c>
      <c r="G28" s="11">
        <v>0.52400000000000002</v>
      </c>
      <c r="H28" s="11">
        <v>0.45600000000000002</v>
      </c>
      <c r="I28" s="11">
        <v>0.45200000000000001</v>
      </c>
    </row>
    <row r="29" spans="1:9" x14ac:dyDescent="0.2">
      <c r="A29" s="4">
        <v>2</v>
      </c>
      <c r="B29" s="5">
        <v>40</v>
      </c>
      <c r="C29" s="10">
        <v>0.47399999999999998</v>
      </c>
      <c r="D29" s="10">
        <v>0.52700000000000002</v>
      </c>
      <c r="E29" s="11">
        <v>0.54100000000000004</v>
      </c>
      <c r="F29" s="11">
        <v>0.503</v>
      </c>
      <c r="G29" s="11">
        <v>0.51500000000000001</v>
      </c>
      <c r="H29" s="11">
        <v>0.439</v>
      </c>
      <c r="I29" s="11">
        <v>0.443</v>
      </c>
    </row>
    <row r="30" spans="1:9" x14ac:dyDescent="0.2">
      <c r="A30" s="4">
        <v>3</v>
      </c>
      <c r="B30" s="5">
        <v>40</v>
      </c>
      <c r="C30" s="10">
        <v>0.48699999999999999</v>
      </c>
      <c r="D30" s="10">
        <v>0.68799999999999994</v>
      </c>
      <c r="E30" s="11">
        <v>0.56000000000000005</v>
      </c>
      <c r="F30" s="11">
        <v>0.51100000000000001</v>
      </c>
      <c r="G30" s="11">
        <v>0.53600000000000003</v>
      </c>
      <c r="H30" s="11">
        <v>0.46100000000000002</v>
      </c>
      <c r="I30" s="11">
        <v>0.45900000000000002</v>
      </c>
    </row>
    <row r="31" spans="1:9" x14ac:dyDescent="0.2">
      <c r="A31" s="4">
        <v>4</v>
      </c>
      <c r="B31" s="5">
        <v>40</v>
      </c>
      <c r="C31" s="10">
        <v>0.46500000000000002</v>
      </c>
      <c r="D31" s="10">
        <v>0.69199999999999995</v>
      </c>
      <c r="E31" s="11">
        <v>0.61299999999999999</v>
      </c>
      <c r="F31" s="11">
        <v>0.51200000000000001</v>
      </c>
      <c r="G31" s="11">
        <v>0.504</v>
      </c>
      <c r="H31" s="11">
        <v>0.441</v>
      </c>
      <c r="I31" s="11">
        <v>0.46300000000000002</v>
      </c>
    </row>
    <row r="32" spans="1:9" x14ac:dyDescent="0.2">
      <c r="A32" s="4">
        <v>5</v>
      </c>
      <c r="B32" s="5">
        <v>40</v>
      </c>
      <c r="C32" s="10">
        <v>0.502</v>
      </c>
      <c r="D32" s="10">
        <v>0.58299999999999996</v>
      </c>
      <c r="E32" s="11">
        <v>0.61299999999999999</v>
      </c>
      <c r="F32" s="11">
        <v>0.51200000000000001</v>
      </c>
      <c r="G32" s="11">
        <v>0.505</v>
      </c>
      <c r="H32" s="11">
        <v>0.45</v>
      </c>
      <c r="I32" s="11">
        <v>0.44600000000000001</v>
      </c>
    </row>
    <row r="33" spans="1:9" x14ac:dyDescent="0.2">
      <c r="A33" s="4"/>
      <c r="B33" s="5"/>
      <c r="E33" s="11"/>
      <c r="F33" s="11"/>
      <c r="G33" s="11"/>
    </row>
    <row r="34" spans="1:9" x14ac:dyDescent="0.2">
      <c r="A34" s="4">
        <v>1</v>
      </c>
      <c r="B34" s="5">
        <v>50</v>
      </c>
      <c r="C34" s="10">
        <v>0.48799999999999999</v>
      </c>
      <c r="D34" s="10">
        <v>0.57499999999999996</v>
      </c>
      <c r="E34" s="11">
        <v>0.57299999999999995</v>
      </c>
      <c r="F34" s="11">
        <v>0.50700000000000001</v>
      </c>
      <c r="G34" s="11">
        <v>0.52800000000000002</v>
      </c>
      <c r="H34" s="11">
        <v>0.46600000000000003</v>
      </c>
      <c r="I34" s="11">
        <v>0.45600000000000002</v>
      </c>
    </row>
    <row r="35" spans="1:9" x14ac:dyDescent="0.2">
      <c r="A35" s="4">
        <v>2</v>
      </c>
      <c r="B35" s="5">
        <v>50</v>
      </c>
      <c r="C35" s="10">
        <v>0.48499999999999999</v>
      </c>
      <c r="D35" s="10">
        <v>0.54</v>
      </c>
      <c r="E35" s="11">
        <v>0.54400000000000004</v>
      </c>
      <c r="F35" s="11">
        <v>0.50700000000000001</v>
      </c>
      <c r="G35" s="11">
        <v>0.51400000000000001</v>
      </c>
      <c r="H35" s="11">
        <v>0.44500000000000001</v>
      </c>
      <c r="I35" s="11">
        <v>0.45100000000000001</v>
      </c>
    </row>
    <row r="36" spans="1:9" x14ac:dyDescent="0.2">
      <c r="A36" s="4">
        <v>3</v>
      </c>
      <c r="B36" s="5">
        <v>50</v>
      </c>
      <c r="C36" s="10">
        <v>0.501</v>
      </c>
      <c r="D36" s="10">
        <v>0.68400000000000005</v>
      </c>
      <c r="E36" s="11">
        <v>0.57099999999999995</v>
      </c>
      <c r="F36" s="11">
        <v>0.51500000000000001</v>
      </c>
      <c r="G36" s="11">
        <v>0.53900000000000003</v>
      </c>
      <c r="H36" s="11">
        <v>0.45700000000000002</v>
      </c>
      <c r="I36" s="11">
        <v>0.46</v>
      </c>
    </row>
    <row r="37" spans="1:9" x14ac:dyDescent="0.2">
      <c r="A37" s="4">
        <v>4</v>
      </c>
      <c r="B37" s="5">
        <v>50</v>
      </c>
      <c r="C37" s="10">
        <v>0.47</v>
      </c>
      <c r="D37" s="10">
        <v>0.71099999999999997</v>
      </c>
      <c r="E37" s="11">
        <v>0.64200000000000002</v>
      </c>
      <c r="F37" s="11">
        <v>0.51600000000000001</v>
      </c>
      <c r="G37" s="11">
        <v>0.505</v>
      </c>
      <c r="H37" s="11">
        <v>0.45700000000000002</v>
      </c>
      <c r="I37" s="11">
        <v>0.45700000000000002</v>
      </c>
    </row>
    <row r="38" spans="1:9" x14ac:dyDescent="0.2">
      <c r="A38" s="4">
        <v>5</v>
      </c>
      <c r="B38" s="5">
        <v>50</v>
      </c>
      <c r="C38" s="10">
        <v>0.50600000000000001</v>
      </c>
      <c r="D38" s="10">
        <v>0.60499999999999998</v>
      </c>
      <c r="E38" s="11">
        <v>0.621</v>
      </c>
      <c r="F38" s="11">
        <v>0.51400000000000001</v>
      </c>
      <c r="G38" s="11">
        <v>0.50600000000000001</v>
      </c>
      <c r="H38" s="11">
        <v>0.46</v>
      </c>
      <c r="I38" s="11">
        <v>0.44800000000000001</v>
      </c>
    </row>
    <row r="39" spans="1:9" x14ac:dyDescent="0.2">
      <c r="A39" s="4"/>
      <c r="B39" s="5"/>
      <c r="E39" s="11"/>
      <c r="F39" s="11"/>
      <c r="G39" s="11"/>
    </row>
    <row r="40" spans="1:9" x14ac:dyDescent="0.2">
      <c r="A40" s="4">
        <v>1</v>
      </c>
      <c r="B40" s="5">
        <v>60</v>
      </c>
      <c r="C40" s="10">
        <v>0.496</v>
      </c>
      <c r="D40" s="10">
        <v>0.58299999999999996</v>
      </c>
      <c r="E40" s="11">
        <v>0.57599999999999996</v>
      </c>
      <c r="F40" s="11">
        <v>0.51100000000000001</v>
      </c>
      <c r="G40" s="11">
        <v>0.53100000000000003</v>
      </c>
      <c r="H40" s="11">
        <v>0.47199999999999998</v>
      </c>
      <c r="I40" s="11">
        <v>0.45800000000000002</v>
      </c>
    </row>
    <row r="41" spans="1:9" x14ac:dyDescent="0.2">
      <c r="A41" s="4">
        <v>2</v>
      </c>
      <c r="B41" s="5">
        <v>60</v>
      </c>
      <c r="C41" s="10">
        <v>0.49</v>
      </c>
      <c r="D41" s="10">
        <v>0.54600000000000004</v>
      </c>
      <c r="E41" s="11">
        <v>0.55700000000000005</v>
      </c>
      <c r="F41" s="11">
        <v>0.50900000000000001</v>
      </c>
      <c r="G41" s="11">
        <v>0.52</v>
      </c>
      <c r="H41" s="11">
        <v>0.45</v>
      </c>
      <c r="I41" s="11">
        <v>0.45300000000000001</v>
      </c>
    </row>
    <row r="42" spans="1:9" x14ac:dyDescent="0.2">
      <c r="A42" s="4">
        <v>3</v>
      </c>
      <c r="B42" s="5">
        <v>60</v>
      </c>
      <c r="C42" s="10">
        <v>0.505</v>
      </c>
      <c r="D42" s="10">
        <v>0.68</v>
      </c>
      <c r="E42" s="11">
        <v>0.59399999999999997</v>
      </c>
      <c r="F42" s="11">
        <v>0.51500000000000001</v>
      </c>
      <c r="G42" s="11">
        <v>0.54200000000000004</v>
      </c>
      <c r="H42" s="11">
        <v>0.45700000000000002</v>
      </c>
      <c r="I42" s="11">
        <v>0.46100000000000002</v>
      </c>
    </row>
    <row r="43" spans="1:9" x14ac:dyDescent="0.2">
      <c r="A43" s="4">
        <v>4</v>
      </c>
      <c r="B43" s="5">
        <v>60</v>
      </c>
      <c r="C43" s="10">
        <v>0.47699999999999998</v>
      </c>
      <c r="D43" s="10">
        <v>0.69599999999999995</v>
      </c>
      <c r="E43" s="11">
        <v>0.626</v>
      </c>
      <c r="F43" s="11">
        <v>0.51400000000000001</v>
      </c>
      <c r="G43" s="11">
        <v>0.50900000000000001</v>
      </c>
      <c r="H43" s="11">
        <v>0.45500000000000002</v>
      </c>
      <c r="I43" s="11">
        <v>0.46400000000000002</v>
      </c>
    </row>
    <row r="44" spans="1:9" x14ac:dyDescent="0.2">
      <c r="A44" s="4">
        <v>5</v>
      </c>
      <c r="B44" s="5">
        <v>60</v>
      </c>
      <c r="C44" s="10">
        <v>0.51600000000000001</v>
      </c>
      <c r="D44" s="10">
        <v>0.61199999999999999</v>
      </c>
      <c r="E44" s="11">
        <v>0.64300000000000002</v>
      </c>
      <c r="F44" s="11">
        <v>0.51400000000000001</v>
      </c>
      <c r="G44" s="11">
        <v>0.51300000000000001</v>
      </c>
      <c r="H44" s="11">
        <v>0.46500000000000002</v>
      </c>
      <c r="I44" s="11">
        <v>0.45800000000000002</v>
      </c>
    </row>
    <row r="45" spans="1:9" x14ac:dyDescent="0.2">
      <c r="A45" s="4"/>
      <c r="B45" s="5"/>
      <c r="E45" s="6"/>
      <c r="F45" s="6"/>
    </row>
    <row r="46" spans="1:9" x14ac:dyDescent="0.2">
      <c r="A46" s="4"/>
      <c r="B46" s="5"/>
      <c r="C46" s="6"/>
      <c r="D46" s="6"/>
      <c r="E46" s="6"/>
      <c r="F46" s="6"/>
      <c r="G46" s="10"/>
      <c r="H46" s="10"/>
    </row>
    <row r="47" spans="1:9" x14ac:dyDescent="0.2">
      <c r="A47" s="4"/>
      <c r="B47" s="5"/>
      <c r="C47" s="6"/>
      <c r="D47" s="6"/>
      <c r="E47" s="6"/>
      <c r="F47" s="6"/>
      <c r="G47" s="10"/>
      <c r="H47" s="10"/>
    </row>
    <row r="48" spans="1:9" x14ac:dyDescent="0.2">
      <c r="A48" s="4"/>
      <c r="B48" s="5"/>
      <c r="C48" s="6"/>
      <c r="D48" s="6"/>
      <c r="E48" s="6"/>
      <c r="F48" s="6"/>
      <c r="G48" s="10"/>
      <c r="H48" s="10"/>
    </row>
    <row r="49" spans="1:9" x14ac:dyDescent="0.2">
      <c r="A49" s="4"/>
      <c r="B49" s="5"/>
      <c r="C49" s="6"/>
      <c r="D49" s="6"/>
      <c r="E49" s="6"/>
      <c r="F49" s="6"/>
      <c r="G49" s="10"/>
      <c r="H49" s="10"/>
    </row>
    <row r="50" spans="1:9" x14ac:dyDescent="0.2">
      <c r="A50" s="4"/>
      <c r="B50" s="5"/>
      <c r="C50" s="6"/>
      <c r="D50" s="6"/>
      <c r="E50" s="6"/>
      <c r="F50" s="6"/>
      <c r="G50" s="10"/>
      <c r="H50" s="10"/>
    </row>
    <row r="51" spans="1:9" x14ac:dyDescent="0.2">
      <c r="A51" s="4"/>
      <c r="B51" s="5"/>
      <c r="C51" s="5"/>
      <c r="D51" s="5"/>
      <c r="E51" s="5"/>
      <c r="F51" s="5"/>
      <c r="G51" s="4"/>
      <c r="H51" s="4"/>
    </row>
    <row r="52" spans="1:9" x14ac:dyDescent="0.2">
      <c r="A52" s="4"/>
      <c r="B52" s="5"/>
      <c r="C52" s="5"/>
      <c r="D52" s="5"/>
      <c r="E52" s="5"/>
      <c r="F52" s="5"/>
      <c r="G52" s="4"/>
      <c r="H52" s="4"/>
    </row>
    <row r="53" spans="1:9" x14ac:dyDescent="0.2">
      <c r="A53" s="29" t="s">
        <v>3</v>
      </c>
      <c r="B53" s="29"/>
      <c r="C53" s="29"/>
      <c r="D53" s="29"/>
      <c r="E53" s="29"/>
      <c r="F53" s="2"/>
      <c r="G53" s="2"/>
      <c r="H53" s="2"/>
    </row>
    <row r="54" spans="1:9" ht="51" x14ac:dyDescent="0.2">
      <c r="A54" s="2" t="s">
        <v>1</v>
      </c>
      <c r="B54" s="3" t="s">
        <v>2</v>
      </c>
      <c r="C54" s="3" t="s">
        <v>8</v>
      </c>
      <c r="D54" s="3" t="s">
        <v>9</v>
      </c>
      <c r="E54" s="3" t="s">
        <v>10</v>
      </c>
      <c r="F54" s="3" t="s">
        <v>11</v>
      </c>
      <c r="G54" s="3" t="s">
        <v>12</v>
      </c>
      <c r="H54" s="3" t="s">
        <v>31</v>
      </c>
      <c r="I54" s="3" t="s">
        <v>32</v>
      </c>
    </row>
    <row r="55" spans="1:9" x14ac:dyDescent="0.2">
      <c r="A55" s="4">
        <v>1</v>
      </c>
      <c r="B55" s="5">
        <v>0</v>
      </c>
      <c r="C55" s="7">
        <f t="shared" ref="C55:G59" si="0" xml:space="preserve"> (C4-C4)/32.258</f>
        <v>0</v>
      </c>
      <c r="D55" s="7">
        <f t="shared" si="0"/>
        <v>0</v>
      </c>
      <c r="E55" s="7">
        <f t="shared" si="0"/>
        <v>0</v>
      </c>
      <c r="F55" s="7">
        <f t="shared" si="0"/>
        <v>0</v>
      </c>
      <c r="G55" s="7">
        <f t="shared" si="0"/>
        <v>0</v>
      </c>
      <c r="H55" s="7">
        <f t="shared" ref="H55:I55" si="1" xml:space="preserve"> (H4-H4)/32.258</f>
        <v>0</v>
      </c>
      <c r="I55" s="7">
        <f t="shared" si="1"/>
        <v>0</v>
      </c>
    </row>
    <row r="56" spans="1:9" x14ac:dyDescent="0.2">
      <c r="A56" s="4">
        <v>2</v>
      </c>
      <c r="B56" s="5">
        <v>0</v>
      </c>
      <c r="C56" s="7">
        <f t="shared" si="0"/>
        <v>0</v>
      </c>
      <c r="D56" s="7">
        <f t="shared" si="0"/>
        <v>0</v>
      </c>
      <c r="E56" s="7">
        <f t="shared" si="0"/>
        <v>0</v>
      </c>
      <c r="F56" s="7">
        <f t="shared" si="0"/>
        <v>0</v>
      </c>
      <c r="G56" s="7">
        <f t="shared" si="0"/>
        <v>0</v>
      </c>
      <c r="H56" s="7">
        <f t="shared" ref="H56:I56" si="2" xml:space="preserve"> (H5-H5)/32.258</f>
        <v>0</v>
      </c>
      <c r="I56" s="7">
        <f t="shared" si="2"/>
        <v>0</v>
      </c>
    </row>
    <row r="57" spans="1:9" x14ac:dyDescent="0.2">
      <c r="A57" s="4">
        <v>3</v>
      </c>
      <c r="B57" s="5">
        <v>0</v>
      </c>
      <c r="C57" s="7">
        <f t="shared" si="0"/>
        <v>0</v>
      </c>
      <c r="D57" s="7">
        <f t="shared" si="0"/>
        <v>0</v>
      </c>
      <c r="E57" s="7">
        <f t="shared" si="0"/>
        <v>0</v>
      </c>
      <c r="F57" s="7">
        <f t="shared" si="0"/>
        <v>0</v>
      </c>
      <c r="G57" s="7">
        <f t="shared" si="0"/>
        <v>0</v>
      </c>
      <c r="H57" s="7">
        <f t="shared" ref="H57:I57" si="3" xml:space="preserve"> (H6-H6)/32.258</f>
        <v>0</v>
      </c>
      <c r="I57" s="7">
        <f t="shared" si="3"/>
        <v>0</v>
      </c>
    </row>
    <row r="58" spans="1:9" x14ac:dyDescent="0.2">
      <c r="A58" s="4">
        <v>4</v>
      </c>
      <c r="B58" s="5">
        <v>0</v>
      </c>
      <c r="C58" s="7">
        <f t="shared" si="0"/>
        <v>0</v>
      </c>
      <c r="D58" s="7">
        <f t="shared" si="0"/>
        <v>0</v>
      </c>
      <c r="E58" s="7">
        <f t="shared" si="0"/>
        <v>0</v>
      </c>
      <c r="F58" s="7">
        <f t="shared" si="0"/>
        <v>0</v>
      </c>
      <c r="G58" s="7">
        <f t="shared" si="0"/>
        <v>0</v>
      </c>
      <c r="H58" s="7">
        <f t="shared" ref="H58:I58" si="4" xml:space="preserve"> (H7-H7)/32.258</f>
        <v>0</v>
      </c>
      <c r="I58" s="7">
        <f t="shared" si="4"/>
        <v>0</v>
      </c>
    </row>
    <row r="59" spans="1:9" x14ac:dyDescent="0.2">
      <c r="A59" s="4">
        <v>5</v>
      </c>
      <c r="B59" s="5">
        <v>0</v>
      </c>
      <c r="C59" s="7">
        <f t="shared" si="0"/>
        <v>0</v>
      </c>
      <c r="D59" s="7">
        <f t="shared" si="0"/>
        <v>0</v>
      </c>
      <c r="E59" s="7">
        <f t="shared" si="0"/>
        <v>0</v>
      </c>
      <c r="F59" s="7">
        <f t="shared" si="0"/>
        <v>0</v>
      </c>
      <c r="G59" s="7">
        <f t="shared" si="0"/>
        <v>0</v>
      </c>
      <c r="H59" s="7">
        <f t="shared" ref="H59:I59" si="5" xml:space="preserve"> (H8-H8)/32.258</f>
        <v>0</v>
      </c>
      <c r="I59" s="7">
        <f t="shared" si="5"/>
        <v>0</v>
      </c>
    </row>
    <row r="60" spans="1:9" x14ac:dyDescent="0.2">
      <c r="A60" s="4"/>
      <c r="B60" s="5"/>
      <c r="C60" s="7"/>
      <c r="D60" s="7"/>
      <c r="E60" s="7"/>
      <c r="F60" s="7"/>
      <c r="G60" s="7"/>
      <c r="H60" s="7"/>
      <c r="I60" s="7"/>
    </row>
    <row r="61" spans="1:9" x14ac:dyDescent="0.2">
      <c r="A61" s="4">
        <v>1</v>
      </c>
      <c r="B61" s="5">
        <v>10</v>
      </c>
      <c r="C61" s="7">
        <f t="shared" ref="C61:G65" si="6" xml:space="preserve"> (C10-C4)/32.258</f>
        <v>3.7510075020150036E-3</v>
      </c>
      <c r="D61" s="7">
        <f t="shared" si="6"/>
        <v>4.867009734019467E-3</v>
      </c>
      <c r="E61" s="7">
        <f t="shared" si="6"/>
        <v>4.6810093620187248E-3</v>
      </c>
      <c r="F61" s="7">
        <f t="shared" si="6"/>
        <v>1.9530039060078118E-3</v>
      </c>
      <c r="G61" s="7">
        <f t="shared" si="6"/>
        <v>2.4180048360096704E-3</v>
      </c>
      <c r="H61" s="7">
        <f t="shared" ref="H61:I61" si="7" xml:space="preserve"> (H10-H4)/32.258</f>
        <v>3.6580073160146316E-3</v>
      </c>
      <c r="I61" s="7">
        <f t="shared" si="7"/>
        <v>3.4100068200136392E-3</v>
      </c>
    </row>
    <row r="62" spans="1:9" x14ac:dyDescent="0.2">
      <c r="A62" s="4">
        <v>2</v>
      </c>
      <c r="B62" s="5">
        <v>10</v>
      </c>
      <c r="C62" s="7">
        <f t="shared" si="6"/>
        <v>3.6890073780147556E-3</v>
      </c>
      <c r="D62" s="7">
        <f t="shared" si="6"/>
        <v>4.0920081840163658E-3</v>
      </c>
      <c r="E62" s="7">
        <f t="shared" si="6"/>
        <v>4.6190092380184742E-3</v>
      </c>
      <c r="F62" s="7">
        <f t="shared" si="6"/>
        <v>2.0770041540083078E-3</v>
      </c>
      <c r="G62" s="7">
        <f t="shared" si="6"/>
        <v>2.2940045880091762E-3</v>
      </c>
      <c r="H62" s="7">
        <f t="shared" ref="H62:I62" si="8" xml:space="preserve"> (H11-H5)/32.258</f>
        <v>3.4100068200136392E-3</v>
      </c>
      <c r="I62" s="7">
        <f t="shared" si="8"/>
        <v>3.5650071300142596E-3</v>
      </c>
    </row>
    <row r="63" spans="1:9" x14ac:dyDescent="0.2">
      <c r="A63" s="4">
        <v>3</v>
      </c>
      <c r="B63" s="5">
        <v>10</v>
      </c>
      <c r="C63" s="7">
        <f t="shared" si="6"/>
        <v>3.9680079360158715E-3</v>
      </c>
      <c r="D63" s="7">
        <f t="shared" si="6"/>
        <v>1.0106020212040425E-2</v>
      </c>
      <c r="E63" s="7">
        <f t="shared" si="6"/>
        <v>4.7430094860189728E-3</v>
      </c>
      <c r="F63" s="7">
        <f t="shared" si="6"/>
        <v>2.2010044020088042E-3</v>
      </c>
      <c r="G63" s="7">
        <f t="shared" si="6"/>
        <v>2.2010044020088042E-3</v>
      </c>
      <c r="H63" s="7">
        <f t="shared" ref="H63:I63" si="9" xml:space="preserve"> (H12-H6)/32.258</f>
        <v>3.3790067580135152E-3</v>
      </c>
      <c r="I63" s="7">
        <f t="shared" si="9"/>
        <v>3.5650071300142596E-3</v>
      </c>
    </row>
    <row r="64" spans="1:9" x14ac:dyDescent="0.2">
      <c r="A64" s="4">
        <v>4</v>
      </c>
      <c r="B64" s="5">
        <v>10</v>
      </c>
      <c r="C64" s="7">
        <f t="shared" si="6"/>
        <v>3.5960071920143836E-3</v>
      </c>
      <c r="D64" s="7">
        <f t="shared" si="6"/>
        <v>9.889019778039557E-3</v>
      </c>
      <c r="E64" s="7">
        <f t="shared" si="6"/>
        <v>5.8590117180234375E-3</v>
      </c>
      <c r="F64" s="7">
        <f t="shared" si="6"/>
        <v>2.1700043400086802E-3</v>
      </c>
      <c r="G64" s="7">
        <f t="shared" si="6"/>
        <v>1.7360034720069438E-3</v>
      </c>
      <c r="H64" s="7">
        <f t="shared" ref="H64:I64" si="10" xml:space="preserve"> (H13-H7)/32.258</f>
        <v>3.4720069440138876E-3</v>
      </c>
      <c r="I64" s="7">
        <f t="shared" si="10"/>
        <v>3.3480066960133912E-3</v>
      </c>
    </row>
    <row r="65" spans="1:9" x14ac:dyDescent="0.2">
      <c r="A65" s="4">
        <v>5</v>
      </c>
      <c r="B65" s="5">
        <v>10</v>
      </c>
      <c r="C65" s="7">
        <f t="shared" si="6"/>
        <v>3.8130076260152516E-3</v>
      </c>
      <c r="D65" s="7">
        <f t="shared" si="6"/>
        <v>5.0530101060202127E-3</v>
      </c>
      <c r="E65" s="7">
        <f t="shared" si="6"/>
        <v>6.1070122140244295E-3</v>
      </c>
      <c r="F65" s="7">
        <f t="shared" si="6"/>
        <v>2.0460040920081838E-3</v>
      </c>
      <c r="G65" s="7">
        <f t="shared" si="6"/>
        <v>1.7050034100068196E-3</v>
      </c>
      <c r="H65" s="7">
        <f t="shared" ref="H65:I65" si="11" xml:space="preserve"> (H14-H8)/32.258</f>
        <v>3.2550065100130192E-3</v>
      </c>
      <c r="I65" s="7">
        <f t="shared" si="11"/>
        <v>3.2550065100130192E-3</v>
      </c>
    </row>
    <row r="66" spans="1:9" x14ac:dyDescent="0.2">
      <c r="A66" s="4"/>
      <c r="B66" s="5"/>
      <c r="C66" s="7"/>
      <c r="D66" s="7"/>
      <c r="E66" s="7"/>
      <c r="F66" s="7"/>
      <c r="G66" s="7"/>
      <c r="H66" s="7"/>
      <c r="I66" s="7"/>
    </row>
    <row r="67" spans="1:9" x14ac:dyDescent="0.2">
      <c r="A67" s="4">
        <v>1</v>
      </c>
      <c r="B67" s="5">
        <v>20</v>
      </c>
      <c r="C67" s="7">
        <f t="shared" ref="C67:G71" si="12" xml:space="preserve"> (C16-C4)/32.258</f>
        <v>4.2470084940169879E-3</v>
      </c>
      <c r="D67" s="7">
        <f t="shared" si="12"/>
        <v>5.8900117800235593E-3</v>
      </c>
      <c r="E67" s="7">
        <f t="shared" si="12"/>
        <v>5.4560109120218251E-3</v>
      </c>
      <c r="F67" s="7">
        <f t="shared" si="12"/>
        <v>3.0690061380122752E-3</v>
      </c>
      <c r="G67" s="7">
        <f t="shared" si="12"/>
        <v>3.3480066960133912E-3</v>
      </c>
      <c r="H67" s="7">
        <f t="shared" ref="H67:I67" si="13" xml:space="preserve"> (H16-H4)/32.258</f>
        <v>3.6580073160146316E-3</v>
      </c>
      <c r="I67" s="7">
        <f t="shared" si="13"/>
        <v>3.3790067580135152E-3</v>
      </c>
    </row>
    <row r="68" spans="1:9" x14ac:dyDescent="0.2">
      <c r="A68" s="4">
        <v>2</v>
      </c>
      <c r="B68" s="5">
        <v>20</v>
      </c>
      <c r="C68" s="7">
        <f t="shared" si="12"/>
        <v>4.061008122016244E-3</v>
      </c>
      <c r="D68" s="7">
        <f t="shared" si="12"/>
        <v>4.8360096720193426E-3</v>
      </c>
      <c r="E68" s="7">
        <f t="shared" si="12"/>
        <v>4.991009982019963E-3</v>
      </c>
      <c r="F68" s="7">
        <f t="shared" si="12"/>
        <v>2.9140058280116548E-3</v>
      </c>
      <c r="G68" s="7">
        <f t="shared" si="12"/>
        <v>3.1620063240126472E-3</v>
      </c>
      <c r="H68" s="7">
        <f t="shared" ref="H68:I68" si="14" xml:space="preserve"> (H17-H5)/32.258</f>
        <v>3.5340070680141356E-3</v>
      </c>
      <c r="I68" s="7">
        <f t="shared" si="14"/>
        <v>3.4410068820137632E-3</v>
      </c>
    </row>
    <row r="69" spans="1:9" x14ac:dyDescent="0.2">
      <c r="A69" s="4">
        <v>3</v>
      </c>
      <c r="B69" s="5">
        <v>20</v>
      </c>
      <c r="C69" s="7">
        <f t="shared" si="12"/>
        <v>4.123008246016492E-3</v>
      </c>
      <c r="D69" s="7">
        <f t="shared" si="12"/>
        <v>1.109802219604439E-2</v>
      </c>
      <c r="E69" s="7">
        <f t="shared" si="12"/>
        <v>5.5800111600223211E-3</v>
      </c>
      <c r="F69" s="7">
        <f t="shared" si="12"/>
        <v>3.3170066340132672E-3</v>
      </c>
      <c r="G69" s="7">
        <f t="shared" si="12"/>
        <v>3.2240064480128969E-3</v>
      </c>
      <c r="H69" s="7">
        <f t="shared" ref="H69:I69" si="15" xml:space="preserve"> (H18-H6)/32.258</f>
        <v>3.5340070680141356E-3</v>
      </c>
      <c r="I69" s="7">
        <f t="shared" si="15"/>
        <v>3.5650071300142596E-3</v>
      </c>
    </row>
    <row r="70" spans="1:9" x14ac:dyDescent="0.2">
      <c r="A70" s="4">
        <v>4</v>
      </c>
      <c r="B70" s="5">
        <v>20</v>
      </c>
      <c r="C70" s="7">
        <f t="shared" si="12"/>
        <v>3.9060078120156235E-3</v>
      </c>
      <c r="D70" s="7">
        <f t="shared" si="12"/>
        <v>1.0261020522041045E-2</v>
      </c>
      <c r="E70" s="7">
        <f t="shared" si="12"/>
        <v>7.4400148800297591E-3</v>
      </c>
      <c r="F70" s="7">
        <f t="shared" si="12"/>
        <v>3.3790067580135152E-3</v>
      </c>
      <c r="G70" s="7">
        <f t="shared" si="12"/>
        <v>2.5110050220100424E-3</v>
      </c>
      <c r="H70" s="7">
        <f t="shared" ref="H70:I70" si="16" xml:space="preserve"> (H19-H7)/32.258</f>
        <v>3.5340070680141356E-3</v>
      </c>
      <c r="I70" s="7">
        <f t="shared" si="16"/>
        <v>3.6270072540145076E-3</v>
      </c>
    </row>
    <row r="71" spans="1:9" x14ac:dyDescent="0.2">
      <c r="A71" s="4">
        <v>5</v>
      </c>
      <c r="B71" s="5">
        <v>20</v>
      </c>
      <c r="C71" s="7">
        <f t="shared" si="12"/>
        <v>4.4330088660177302E-3</v>
      </c>
      <c r="D71" s="7">
        <f t="shared" si="12"/>
        <v>6.1690123380246775E-3</v>
      </c>
      <c r="E71" s="7">
        <f t="shared" si="12"/>
        <v>7.3160146320292632E-3</v>
      </c>
      <c r="F71" s="7">
        <f t="shared" si="12"/>
        <v>3.2550065100130192E-3</v>
      </c>
      <c r="G71" s="7">
        <f t="shared" si="12"/>
        <v>2.8210056420112828E-3</v>
      </c>
      <c r="H71" s="7">
        <f t="shared" ref="H71:I71" si="17" xml:space="preserve"> (H20-H8)/32.258</f>
        <v>3.5960071920143836E-3</v>
      </c>
      <c r="I71" s="7">
        <f t="shared" si="17"/>
        <v>3.4410068820137632E-3</v>
      </c>
    </row>
    <row r="72" spans="1:9" x14ac:dyDescent="0.2">
      <c r="A72" s="4"/>
      <c r="B72" s="5"/>
      <c r="C72" s="7"/>
      <c r="D72" s="7"/>
      <c r="E72" s="7"/>
      <c r="F72" s="7"/>
      <c r="G72" s="7"/>
      <c r="H72" s="7"/>
      <c r="I72" s="7"/>
    </row>
    <row r="73" spans="1:9" x14ac:dyDescent="0.2">
      <c r="A73" s="4">
        <v>1</v>
      </c>
      <c r="B73" s="5">
        <v>30</v>
      </c>
      <c r="C73" s="7">
        <f t="shared" ref="C73:G77" si="18" xml:space="preserve"> (C22-C4)/32.258</f>
        <v>4.5260090520181026E-3</v>
      </c>
      <c r="D73" s="7">
        <f t="shared" si="18"/>
        <v>6.6030132060264125E-3</v>
      </c>
      <c r="E73" s="7">
        <f t="shared" si="18"/>
        <v>5.9210118420236855E-3</v>
      </c>
      <c r="F73" s="7">
        <f t="shared" si="18"/>
        <v>3.4410068820137632E-3</v>
      </c>
      <c r="G73" s="7">
        <f t="shared" si="18"/>
        <v>3.5960071920143836E-3</v>
      </c>
      <c r="H73" s="7">
        <f t="shared" ref="H73:I73" si="19" xml:space="preserve"> (H22-H4)/32.258</f>
        <v>3.7510075020150036E-3</v>
      </c>
      <c r="I73" s="7">
        <f t="shared" si="19"/>
        <v>3.5960071920143836E-3</v>
      </c>
    </row>
    <row r="74" spans="1:9" x14ac:dyDescent="0.2">
      <c r="A74" s="4">
        <v>2</v>
      </c>
      <c r="B74" s="5">
        <v>30</v>
      </c>
      <c r="C74" s="7">
        <f t="shared" si="18"/>
        <v>4.3400086800173586E-3</v>
      </c>
      <c r="D74" s="7">
        <f t="shared" si="18"/>
        <v>5.5800111600223194E-3</v>
      </c>
      <c r="E74" s="7">
        <f t="shared" si="18"/>
        <v>5.3320106640213274E-3</v>
      </c>
      <c r="F74" s="7">
        <f t="shared" si="18"/>
        <v>3.4410068820137632E-3</v>
      </c>
      <c r="G74" s="7">
        <f t="shared" si="18"/>
        <v>3.5340070680141356E-3</v>
      </c>
      <c r="H74" s="7">
        <f t="shared" ref="H74:I74" si="20" xml:space="preserve"> (H23-H5)/32.258</f>
        <v>3.6580073160146316E-3</v>
      </c>
      <c r="I74" s="7">
        <f t="shared" si="20"/>
        <v>3.5650071300142596E-3</v>
      </c>
    </row>
    <row r="75" spans="1:9" x14ac:dyDescent="0.2">
      <c r="A75" s="4">
        <v>3</v>
      </c>
      <c r="B75" s="5">
        <v>30</v>
      </c>
      <c r="C75" s="7">
        <f t="shared" si="18"/>
        <v>4.5880091760183506E-3</v>
      </c>
      <c r="D75" s="7">
        <f t="shared" si="18"/>
        <v>1.1594023188046376E-2</v>
      </c>
      <c r="E75" s="7">
        <f t="shared" si="18"/>
        <v>6.2000124000248019E-3</v>
      </c>
      <c r="F75" s="7">
        <f t="shared" si="18"/>
        <v>3.7820075640151276E-3</v>
      </c>
      <c r="G75" s="7">
        <f t="shared" si="18"/>
        <v>3.5650071300142613E-3</v>
      </c>
      <c r="H75" s="7">
        <f t="shared" ref="H75:I75" si="21" xml:space="preserve"> (H24-H6)/32.258</f>
        <v>3.6270072540145076E-3</v>
      </c>
      <c r="I75" s="7">
        <f t="shared" si="21"/>
        <v>3.6270072540145076E-3</v>
      </c>
    </row>
    <row r="76" spans="1:9" x14ac:dyDescent="0.2">
      <c r="A76" s="4">
        <v>4</v>
      </c>
      <c r="B76" s="5">
        <v>30</v>
      </c>
      <c r="C76" s="7">
        <f t="shared" si="18"/>
        <v>4.4020088040176084E-3</v>
      </c>
      <c r="D76" s="7">
        <f t="shared" si="18"/>
        <v>1.0819021638043274E-2</v>
      </c>
      <c r="E76" s="7">
        <f t="shared" si="18"/>
        <v>7.4710149420298836E-3</v>
      </c>
      <c r="F76" s="7">
        <f t="shared" si="18"/>
        <v>3.7200074400148796E-3</v>
      </c>
      <c r="G76" s="7">
        <f t="shared" si="18"/>
        <v>2.9760059520119028E-3</v>
      </c>
      <c r="H76" s="7">
        <f t="shared" ref="H76:I76" si="22" xml:space="preserve"> (H25-H7)/32.258</f>
        <v>3.3170066340132672E-3</v>
      </c>
      <c r="I76" s="7">
        <f t="shared" si="22"/>
        <v>3.7200074400148796E-3</v>
      </c>
    </row>
    <row r="77" spans="1:9" x14ac:dyDescent="0.2">
      <c r="A77" s="4">
        <v>5</v>
      </c>
      <c r="B77" s="5">
        <v>30</v>
      </c>
      <c r="C77" s="7">
        <f t="shared" si="18"/>
        <v>4.929009858019715E-3</v>
      </c>
      <c r="D77" s="7">
        <f t="shared" si="18"/>
        <v>7.0060140120280232E-3</v>
      </c>
      <c r="E77" s="7">
        <f t="shared" si="18"/>
        <v>7.7190154380308755E-3</v>
      </c>
      <c r="F77" s="7">
        <f t="shared" si="18"/>
        <v>3.5340070680141356E-3</v>
      </c>
      <c r="G77" s="7">
        <f t="shared" si="18"/>
        <v>3.0690061380122752E-3</v>
      </c>
      <c r="H77" s="7">
        <f t="shared" ref="H77:I77" si="23" xml:space="preserve"> (H26-H8)/32.258</f>
        <v>3.5960071920143836E-3</v>
      </c>
      <c r="I77" s="7">
        <f t="shared" si="23"/>
        <v>3.5960071920143836E-3</v>
      </c>
    </row>
    <row r="78" spans="1:9" x14ac:dyDescent="0.2">
      <c r="A78" s="4"/>
      <c r="B78" s="5"/>
      <c r="C78" s="7"/>
      <c r="D78" s="7"/>
      <c r="E78" s="7"/>
      <c r="F78" s="7"/>
      <c r="G78" s="7"/>
      <c r="H78" s="7"/>
      <c r="I78" s="7"/>
    </row>
    <row r="79" spans="1:9" x14ac:dyDescent="0.2">
      <c r="A79" s="4">
        <v>1</v>
      </c>
      <c r="B79" s="5">
        <v>40</v>
      </c>
      <c r="C79" s="7">
        <f t="shared" ref="C79:G83" si="24" xml:space="preserve"> (C28-C4)/32.258</f>
        <v>4.6190092380184742E-3</v>
      </c>
      <c r="D79" s="7">
        <f t="shared" si="24"/>
        <v>7.0680141360282694E-3</v>
      </c>
      <c r="E79" s="7">
        <f t="shared" si="24"/>
        <v>6.5410130820261663E-3</v>
      </c>
      <c r="F79" s="7">
        <f t="shared" si="24"/>
        <v>3.6270072540145076E-3</v>
      </c>
      <c r="G79" s="7">
        <f t="shared" si="24"/>
        <v>3.8440076880153756E-3</v>
      </c>
      <c r="H79" s="7">
        <f t="shared" ref="H79:I79" si="25" xml:space="preserve"> (H28-H4)/32.258</f>
        <v>3.6270072540145076E-3</v>
      </c>
      <c r="I79" s="7">
        <f t="shared" si="25"/>
        <v>3.6580073160146316E-3</v>
      </c>
    </row>
    <row r="80" spans="1:9" x14ac:dyDescent="0.2">
      <c r="A80" s="4">
        <v>2</v>
      </c>
      <c r="B80" s="5">
        <v>40</v>
      </c>
      <c r="C80" s="7">
        <f t="shared" si="24"/>
        <v>4.4020088040176066E-3</v>
      </c>
      <c r="D80" s="7">
        <f t="shared" si="24"/>
        <v>5.8280116560233113E-3</v>
      </c>
      <c r="E80" s="7">
        <f t="shared" si="24"/>
        <v>6.2620125240250481E-3</v>
      </c>
      <c r="F80" s="7">
        <f t="shared" si="24"/>
        <v>3.5650071300142596E-3</v>
      </c>
      <c r="G80" s="7">
        <f t="shared" si="24"/>
        <v>3.8130076260152516E-3</v>
      </c>
      <c r="H80" s="7">
        <f t="shared" ref="H80:I80" si="26" xml:space="preserve"> (H29-H5)/32.258</f>
        <v>3.6580073160146316E-3</v>
      </c>
      <c r="I80" s="7">
        <f t="shared" si="26"/>
        <v>3.6580073160146316E-3</v>
      </c>
    </row>
    <row r="81" spans="1:9" x14ac:dyDescent="0.2">
      <c r="A81" s="4">
        <v>3</v>
      </c>
      <c r="B81" s="5">
        <v>40</v>
      </c>
      <c r="C81" s="7">
        <f t="shared" si="24"/>
        <v>4.867009734019467E-3</v>
      </c>
      <c r="D81" s="7">
        <f t="shared" si="24"/>
        <v>1.0633021266042529E-2</v>
      </c>
      <c r="E81" s="7">
        <f t="shared" si="24"/>
        <v>6.6960133920267858E-3</v>
      </c>
      <c r="F81" s="7">
        <f t="shared" si="24"/>
        <v>3.7820075640151276E-3</v>
      </c>
      <c r="G81" s="7">
        <f t="shared" si="24"/>
        <v>3.7820075640151293E-3</v>
      </c>
      <c r="H81" s="7">
        <f t="shared" ref="H81:I81" si="27" xml:space="preserve"> (H30-H6)/32.258</f>
        <v>3.999007998015996E-3</v>
      </c>
      <c r="I81" s="7">
        <f t="shared" si="27"/>
        <v>3.8440076880153756E-3</v>
      </c>
    </row>
    <row r="82" spans="1:9" x14ac:dyDescent="0.2">
      <c r="A82" s="4">
        <v>4</v>
      </c>
      <c r="B82" s="5">
        <v>40</v>
      </c>
      <c r="C82" s="7">
        <f t="shared" si="24"/>
        <v>4.4640089280178563E-3</v>
      </c>
      <c r="D82" s="7">
        <f t="shared" si="24"/>
        <v>1.0571021142042282E-2</v>
      </c>
      <c r="E82" s="7">
        <f t="shared" si="24"/>
        <v>8.0600161200322391E-3</v>
      </c>
      <c r="F82" s="7">
        <f t="shared" si="24"/>
        <v>3.8130076260152516E-3</v>
      </c>
      <c r="G82" s="7">
        <f t="shared" si="24"/>
        <v>3.1620063240126472E-3</v>
      </c>
      <c r="H82" s="7">
        <f t="shared" ref="H82:I82" si="28" xml:space="preserve"> (H31-H7)/32.258</f>
        <v>3.7510075020150036E-3</v>
      </c>
      <c r="I82" s="7">
        <f t="shared" si="28"/>
        <v>3.8440076880153756E-3</v>
      </c>
    </row>
    <row r="83" spans="1:9" x14ac:dyDescent="0.2">
      <c r="A83" s="4">
        <v>5</v>
      </c>
      <c r="B83" s="5">
        <v>40</v>
      </c>
      <c r="C83" s="7">
        <f t="shared" si="24"/>
        <v>5.0840101680203345E-3</v>
      </c>
      <c r="D83" s="7">
        <f t="shared" si="24"/>
        <v>7.3780147560295111E-3</v>
      </c>
      <c r="E83" s="7">
        <f t="shared" si="24"/>
        <v>8.2150164300328603E-3</v>
      </c>
      <c r="F83" s="7">
        <f t="shared" si="24"/>
        <v>3.6890073780147556E-3</v>
      </c>
      <c r="G83" s="7">
        <f t="shared" si="24"/>
        <v>3.3480066960133912E-3</v>
      </c>
      <c r="H83" s="7">
        <f t="shared" ref="H83:I83" si="29" xml:space="preserve"> (H32-H8)/32.258</f>
        <v>3.8130076260152516E-3</v>
      </c>
      <c r="I83" s="7">
        <f t="shared" si="29"/>
        <v>3.5030070060140116E-3</v>
      </c>
    </row>
    <row r="84" spans="1:9" x14ac:dyDescent="0.2">
      <c r="A84" s="4"/>
      <c r="B84" s="5"/>
      <c r="C84" s="7"/>
      <c r="D84" s="7"/>
      <c r="E84" s="7"/>
      <c r="F84" s="7"/>
      <c r="G84" s="7"/>
      <c r="H84" s="7"/>
      <c r="I84" s="7"/>
    </row>
    <row r="85" spans="1:9" x14ac:dyDescent="0.2">
      <c r="A85" s="4">
        <v>1</v>
      </c>
      <c r="B85" s="5">
        <v>50</v>
      </c>
      <c r="C85" s="7">
        <f t="shared" ref="C85:G89" si="30" xml:space="preserve"> (C34-C4)/32.258</f>
        <v>4.9600099200198386E-3</v>
      </c>
      <c r="D85" s="7">
        <f t="shared" si="30"/>
        <v>7.4090148180296338E-3</v>
      </c>
      <c r="E85" s="7">
        <f t="shared" si="30"/>
        <v>7.0060140120280232E-3</v>
      </c>
      <c r="F85" s="7">
        <f t="shared" si="30"/>
        <v>3.6580073160146316E-3</v>
      </c>
      <c r="G85" s="7">
        <f t="shared" si="30"/>
        <v>3.9680079360158715E-3</v>
      </c>
      <c r="H85" s="7">
        <f t="shared" ref="H85:I85" si="31" xml:space="preserve"> (H34-H4)/32.258</f>
        <v>3.937007874015748E-3</v>
      </c>
      <c r="I85" s="7">
        <f t="shared" si="31"/>
        <v>3.7820075640151276E-3</v>
      </c>
    </row>
    <row r="86" spans="1:9" x14ac:dyDescent="0.2">
      <c r="A86" s="4">
        <v>2</v>
      </c>
      <c r="B86" s="5">
        <v>50</v>
      </c>
      <c r="C86" s="7">
        <f t="shared" si="30"/>
        <v>4.743009486018971E-3</v>
      </c>
      <c r="D86" s="7">
        <f t="shared" si="30"/>
        <v>6.2310124620249237E-3</v>
      </c>
      <c r="E86" s="7">
        <f t="shared" si="30"/>
        <v>6.3550127100254197E-3</v>
      </c>
      <c r="F86" s="7">
        <f t="shared" si="30"/>
        <v>3.6890073780147556E-3</v>
      </c>
      <c r="G86" s="7">
        <f t="shared" si="30"/>
        <v>3.7820075640151276E-3</v>
      </c>
      <c r="H86" s="7">
        <f t="shared" ref="H86:I86" si="32" xml:space="preserve"> (H35-H5)/32.258</f>
        <v>3.8440076880153756E-3</v>
      </c>
      <c r="I86" s="7">
        <f t="shared" si="32"/>
        <v>3.9060078120156235E-3</v>
      </c>
    </row>
    <row r="87" spans="1:9" x14ac:dyDescent="0.2">
      <c r="A87" s="4">
        <v>3</v>
      </c>
      <c r="B87" s="5">
        <v>50</v>
      </c>
      <c r="C87" s="7">
        <f t="shared" si="30"/>
        <v>5.301010602021203E-3</v>
      </c>
      <c r="D87" s="7">
        <f t="shared" si="30"/>
        <v>1.0509021018042037E-2</v>
      </c>
      <c r="E87" s="7">
        <f t="shared" si="30"/>
        <v>7.0370140740281467E-3</v>
      </c>
      <c r="F87" s="7">
        <f t="shared" si="30"/>
        <v>3.9060078120156235E-3</v>
      </c>
      <c r="G87" s="7">
        <f t="shared" si="30"/>
        <v>3.8750077500155013E-3</v>
      </c>
      <c r="H87" s="7">
        <f t="shared" ref="H87:I87" si="33" xml:space="preserve"> (H36-H6)/32.258</f>
        <v>3.8750077500154996E-3</v>
      </c>
      <c r="I87" s="7">
        <f t="shared" si="33"/>
        <v>3.8750077500154996E-3</v>
      </c>
    </row>
    <row r="88" spans="1:9" x14ac:dyDescent="0.2">
      <c r="A88" s="4">
        <v>4</v>
      </c>
      <c r="B88" s="5">
        <v>50</v>
      </c>
      <c r="C88" s="7">
        <f t="shared" si="30"/>
        <v>4.6190092380184742E-3</v>
      </c>
      <c r="D88" s="7">
        <f t="shared" si="30"/>
        <v>1.1160022320044639E-2</v>
      </c>
      <c r="E88" s="7">
        <f t="shared" si="30"/>
        <v>8.9590179180358363E-3</v>
      </c>
      <c r="F88" s="7">
        <f t="shared" si="30"/>
        <v>3.937007874015748E-3</v>
      </c>
      <c r="G88" s="7">
        <f t="shared" si="30"/>
        <v>3.1930063860127712E-3</v>
      </c>
      <c r="H88" s="7">
        <f t="shared" ref="H88:I88" si="34" xml:space="preserve"> (H37-H7)/32.258</f>
        <v>4.2470084940169879E-3</v>
      </c>
      <c r="I88" s="7">
        <f t="shared" si="34"/>
        <v>3.6580073160146316E-3</v>
      </c>
    </row>
    <row r="89" spans="1:9" x14ac:dyDescent="0.2">
      <c r="A89" s="4">
        <v>5</v>
      </c>
      <c r="B89" s="5">
        <v>50</v>
      </c>
      <c r="C89" s="7">
        <f t="shared" si="30"/>
        <v>5.2080104160208314E-3</v>
      </c>
      <c r="D89" s="7">
        <f t="shared" si="30"/>
        <v>8.0600161200322391E-3</v>
      </c>
      <c r="E89" s="7">
        <f t="shared" si="30"/>
        <v>8.4630169260338523E-3</v>
      </c>
      <c r="F89" s="7">
        <f t="shared" si="30"/>
        <v>3.7510075020150036E-3</v>
      </c>
      <c r="G89" s="7">
        <f t="shared" si="30"/>
        <v>3.3790067580135152E-3</v>
      </c>
      <c r="H89" s="7">
        <f t="shared" ref="H89:I89" si="35" xml:space="preserve"> (H38-H8)/32.258</f>
        <v>4.123008246016492E-3</v>
      </c>
      <c r="I89" s="7">
        <f t="shared" si="35"/>
        <v>3.5650071300142596E-3</v>
      </c>
    </row>
    <row r="90" spans="1:9" x14ac:dyDescent="0.2">
      <c r="A90" s="4"/>
      <c r="B90" s="5"/>
      <c r="C90" s="7"/>
      <c r="D90" s="7"/>
      <c r="E90" s="7"/>
      <c r="F90" s="7"/>
      <c r="G90" s="7"/>
      <c r="H90" s="7"/>
      <c r="I90" s="7"/>
    </row>
    <row r="91" spans="1:9" x14ac:dyDescent="0.2">
      <c r="A91" s="4">
        <v>1</v>
      </c>
      <c r="B91" s="5">
        <v>60</v>
      </c>
      <c r="C91" s="7">
        <f t="shared" ref="C91:G95" si="36" xml:space="preserve"> (C40-C4)/32.258</f>
        <v>5.2080104160208314E-3</v>
      </c>
      <c r="D91" s="7">
        <f t="shared" si="36"/>
        <v>7.6570153140306258E-3</v>
      </c>
      <c r="E91" s="7">
        <f t="shared" si="36"/>
        <v>7.0990141980283947E-3</v>
      </c>
      <c r="F91" s="7">
        <f t="shared" si="36"/>
        <v>3.7820075640151276E-3</v>
      </c>
      <c r="G91" s="7">
        <f t="shared" si="36"/>
        <v>4.061008122016244E-3</v>
      </c>
      <c r="H91" s="7">
        <f t="shared" ref="H91:I91" si="37" xml:space="preserve"> (H40-H4)/32.258</f>
        <v>4.1230082460164902E-3</v>
      </c>
      <c r="I91" s="7">
        <f t="shared" si="37"/>
        <v>3.8440076880153756E-3</v>
      </c>
    </row>
    <row r="92" spans="1:9" x14ac:dyDescent="0.2">
      <c r="A92" s="4">
        <v>2</v>
      </c>
      <c r="B92" s="5">
        <v>60</v>
      </c>
      <c r="C92" s="7">
        <f t="shared" si="36"/>
        <v>4.8980097960195906E-3</v>
      </c>
      <c r="D92" s="7">
        <f t="shared" si="36"/>
        <v>6.4170128340256677E-3</v>
      </c>
      <c r="E92" s="7">
        <f t="shared" si="36"/>
        <v>6.7580135160270321E-3</v>
      </c>
      <c r="F92" s="7">
        <f t="shared" si="36"/>
        <v>3.7510075020150036E-3</v>
      </c>
      <c r="G92" s="7">
        <f t="shared" si="36"/>
        <v>3.9680079360158715E-3</v>
      </c>
      <c r="H92" s="7">
        <f t="shared" ref="H92:I92" si="38" xml:space="preserve"> (H41-H5)/32.258</f>
        <v>3.999007998015996E-3</v>
      </c>
      <c r="I92" s="7">
        <f t="shared" si="38"/>
        <v>3.9680079360158715E-3</v>
      </c>
    </row>
    <row r="93" spans="1:9" x14ac:dyDescent="0.2">
      <c r="A93" s="4">
        <v>3</v>
      </c>
      <c r="B93" s="5">
        <v>60</v>
      </c>
      <c r="C93" s="7">
        <f t="shared" si="36"/>
        <v>5.4250108500216989E-3</v>
      </c>
      <c r="D93" s="7">
        <f t="shared" si="36"/>
        <v>1.0385020770041541E-2</v>
      </c>
      <c r="E93" s="7">
        <f t="shared" si="36"/>
        <v>7.7500155000309991E-3</v>
      </c>
      <c r="F93" s="7">
        <f t="shared" si="36"/>
        <v>3.9060078120156235E-3</v>
      </c>
      <c r="G93" s="7">
        <f t="shared" si="36"/>
        <v>3.9680079360158733E-3</v>
      </c>
      <c r="H93" s="7">
        <f t="shared" ref="H93:I93" si="39" xml:space="preserve"> (H42-H6)/32.258</f>
        <v>3.8750077500154996E-3</v>
      </c>
      <c r="I93" s="7">
        <f t="shared" si="39"/>
        <v>3.9060078120156235E-3</v>
      </c>
    </row>
    <row r="94" spans="1:9" x14ac:dyDescent="0.2">
      <c r="A94" s="4">
        <v>4</v>
      </c>
      <c r="B94" s="5">
        <v>60</v>
      </c>
      <c r="C94" s="7">
        <f t="shared" si="36"/>
        <v>4.8360096720193426E-3</v>
      </c>
      <c r="D94" s="7">
        <f t="shared" si="36"/>
        <v>1.0695021390042778E-2</v>
      </c>
      <c r="E94" s="7">
        <f t="shared" si="36"/>
        <v>8.4630169260338523E-3</v>
      </c>
      <c r="F94" s="7">
        <f t="shared" si="36"/>
        <v>3.8750077500154996E-3</v>
      </c>
      <c r="G94" s="7">
        <f t="shared" si="36"/>
        <v>3.3170066340132672E-3</v>
      </c>
      <c r="H94" s="7">
        <f t="shared" ref="H94:I94" si="40" xml:space="preserve"> (H43-H7)/32.258</f>
        <v>4.1850083700167399E-3</v>
      </c>
      <c r="I94" s="7">
        <f t="shared" si="40"/>
        <v>3.8750077500154996E-3</v>
      </c>
    </row>
    <row r="95" spans="1:9" x14ac:dyDescent="0.2">
      <c r="A95" s="4">
        <v>5</v>
      </c>
      <c r="B95" s="5">
        <v>60</v>
      </c>
      <c r="C95" s="7">
        <f t="shared" si="36"/>
        <v>5.5180110360220714E-3</v>
      </c>
      <c r="D95" s="7">
        <f t="shared" si="36"/>
        <v>8.2770165540331075E-3</v>
      </c>
      <c r="E95" s="7">
        <f t="shared" si="36"/>
        <v>9.1450182900365811E-3</v>
      </c>
      <c r="F95" s="7">
        <f t="shared" si="36"/>
        <v>3.7510075020150036E-3</v>
      </c>
      <c r="G95" s="7">
        <f t="shared" si="36"/>
        <v>3.5960071920143836E-3</v>
      </c>
      <c r="H95" s="7">
        <f t="shared" ref="H95:I95" si="41" xml:space="preserve"> (H44-H8)/32.258</f>
        <v>4.2780085560171124E-3</v>
      </c>
      <c r="I95" s="7">
        <f t="shared" si="41"/>
        <v>3.8750077500154996E-3</v>
      </c>
    </row>
    <row r="96" spans="1:9" x14ac:dyDescent="0.2">
      <c r="A96" s="4"/>
      <c r="B96" s="5"/>
      <c r="C96" s="7"/>
      <c r="D96" s="7"/>
      <c r="E96" s="7"/>
      <c r="F96" s="7"/>
      <c r="G96" s="7"/>
      <c r="H96" s="7"/>
    </row>
    <row r="97" spans="1:9" x14ac:dyDescent="0.2">
      <c r="A97" s="4"/>
      <c r="B97" s="5"/>
      <c r="C97" s="7"/>
      <c r="D97" s="7"/>
      <c r="E97" s="7"/>
      <c r="F97" s="7"/>
      <c r="G97" s="7"/>
      <c r="H97" s="7"/>
    </row>
    <row r="98" spans="1:9" x14ac:dyDescent="0.2">
      <c r="A98" s="4"/>
      <c r="B98" s="5"/>
      <c r="C98" s="7"/>
      <c r="D98" s="7"/>
      <c r="E98" s="7"/>
      <c r="F98" s="7"/>
      <c r="G98" s="7"/>
      <c r="H98" s="7"/>
    </row>
    <row r="99" spans="1:9" x14ac:dyDescent="0.2">
      <c r="A99" s="4"/>
      <c r="B99" s="5"/>
      <c r="C99" s="7"/>
      <c r="D99" s="7"/>
      <c r="E99" s="7"/>
      <c r="F99" s="7"/>
      <c r="G99" s="7"/>
      <c r="H99" s="7"/>
    </row>
    <row r="100" spans="1:9" x14ac:dyDescent="0.2">
      <c r="A100" s="4"/>
      <c r="B100" s="5"/>
      <c r="C100" s="7"/>
      <c r="D100" s="7"/>
      <c r="E100" s="7"/>
      <c r="F100" s="7"/>
      <c r="G100" s="7"/>
      <c r="H100" s="7"/>
    </row>
    <row r="101" spans="1:9" x14ac:dyDescent="0.2">
      <c r="A101" s="4"/>
      <c r="B101" s="5"/>
      <c r="C101" s="7"/>
      <c r="D101" s="7"/>
      <c r="E101" s="7"/>
      <c r="F101" s="7"/>
      <c r="G101" s="7"/>
      <c r="H101" s="7"/>
    </row>
    <row r="102" spans="1:9" x14ac:dyDescent="0.2">
      <c r="A102" s="4"/>
      <c r="B102" s="5"/>
      <c r="C102" s="5"/>
      <c r="D102" s="5"/>
      <c r="E102" s="5"/>
      <c r="F102" s="5"/>
      <c r="G102" s="4"/>
      <c r="H102" s="4"/>
    </row>
    <row r="103" spans="1:9" x14ac:dyDescent="0.2">
      <c r="A103" s="4"/>
      <c r="B103" s="5"/>
      <c r="C103" s="5"/>
      <c r="D103" s="5"/>
      <c r="E103" s="5"/>
      <c r="F103" s="5"/>
      <c r="G103" s="4"/>
      <c r="H103" s="4"/>
    </row>
    <row r="104" spans="1:9" x14ac:dyDescent="0.2">
      <c r="A104" s="8" t="s">
        <v>13</v>
      </c>
      <c r="B104" s="8"/>
      <c r="C104" s="3"/>
      <c r="D104" s="3"/>
      <c r="E104" s="3"/>
      <c r="F104" s="2"/>
      <c r="G104" s="2"/>
      <c r="H104" s="2"/>
    </row>
    <row r="105" spans="1:9" ht="51" x14ac:dyDescent="0.2">
      <c r="A105" s="2"/>
      <c r="B105" s="3" t="s">
        <v>2</v>
      </c>
      <c r="C105" s="3" t="s">
        <v>8</v>
      </c>
      <c r="D105" s="3" t="s">
        <v>9</v>
      </c>
      <c r="E105" s="3" t="s">
        <v>10</v>
      </c>
      <c r="F105" s="3" t="s">
        <v>11</v>
      </c>
      <c r="G105" s="3" t="s">
        <v>12</v>
      </c>
      <c r="H105" s="3" t="s">
        <v>31</v>
      </c>
      <c r="I105" s="3" t="s">
        <v>32</v>
      </c>
    </row>
    <row r="106" spans="1:9" x14ac:dyDescent="0.2">
      <c r="A106" s="4"/>
      <c r="B106" s="5">
        <v>0</v>
      </c>
      <c r="C106" s="12">
        <f t="shared" ref="C106:G106" si="42" xml:space="preserve"> AVERAGE(C55:C59)*10000</f>
        <v>0</v>
      </c>
      <c r="D106" s="12">
        <f t="shared" si="42"/>
        <v>0</v>
      </c>
      <c r="E106" s="12">
        <f t="shared" si="42"/>
        <v>0</v>
      </c>
      <c r="F106" s="12">
        <f t="shared" si="42"/>
        <v>0</v>
      </c>
      <c r="G106" s="12">
        <f t="shared" si="42"/>
        <v>0</v>
      </c>
      <c r="H106" s="12">
        <f t="shared" ref="H106:I106" si="43" xml:space="preserve"> AVERAGE(H55:H59)*10000</f>
        <v>0</v>
      </c>
      <c r="I106" s="12">
        <f t="shared" si="43"/>
        <v>0</v>
      </c>
    </row>
    <row r="107" spans="1:9" x14ac:dyDescent="0.2">
      <c r="A107" s="4"/>
      <c r="B107" s="5">
        <v>10</v>
      </c>
      <c r="C107" s="12">
        <f t="shared" ref="C107:G107" si="44" xml:space="preserve"> AVERAGE(C61:C65)*10000</f>
        <v>37.634075268150532</v>
      </c>
      <c r="D107" s="12">
        <f t="shared" si="44"/>
        <v>68.014136028272063</v>
      </c>
      <c r="E107" s="12">
        <f t="shared" si="44"/>
        <v>52.018104036208072</v>
      </c>
      <c r="F107" s="12">
        <f t="shared" si="44"/>
        <v>20.894041788083573</v>
      </c>
      <c r="G107" s="12">
        <f t="shared" si="44"/>
        <v>20.708041416082832</v>
      </c>
      <c r="H107" s="12">
        <f t="shared" ref="H107:I107" si="45" xml:space="preserve"> AVERAGE(H61:H65)*10000</f>
        <v>34.348068696137382</v>
      </c>
      <c r="I107" s="12">
        <f t="shared" si="45"/>
        <v>34.28606857213714</v>
      </c>
    </row>
    <row r="108" spans="1:9" x14ac:dyDescent="0.2">
      <c r="A108" s="4"/>
      <c r="B108" s="5">
        <v>20</v>
      </c>
      <c r="C108" s="12">
        <f t="shared" ref="C108:G108" si="46" xml:space="preserve"> AVERAGE(C67:C71)*10000</f>
        <v>41.540083080166156</v>
      </c>
      <c r="D108" s="12">
        <f t="shared" si="46"/>
        <v>76.508153016306039</v>
      </c>
      <c r="E108" s="12">
        <f t="shared" si="46"/>
        <v>61.566123132246275</v>
      </c>
      <c r="F108" s="12">
        <f t="shared" si="46"/>
        <v>31.868063736127464</v>
      </c>
      <c r="G108" s="12">
        <f t="shared" si="46"/>
        <v>30.132060264120518</v>
      </c>
      <c r="H108" s="12">
        <f t="shared" ref="H108:I108" si="47" xml:space="preserve"> AVERAGE(H67:H71)*10000</f>
        <v>35.712071424142842</v>
      </c>
      <c r="I108" s="12">
        <f t="shared" si="47"/>
        <v>34.90606981213962</v>
      </c>
    </row>
    <row r="109" spans="1:9" x14ac:dyDescent="0.2">
      <c r="A109" s="4"/>
      <c r="B109" s="5">
        <v>30</v>
      </c>
      <c r="C109" s="12">
        <f t="shared" ref="C109:G109" si="48" xml:space="preserve"> AVERAGE(C73:C77)*10000</f>
        <v>45.570091140182271</v>
      </c>
      <c r="D109" s="12">
        <f t="shared" si="48"/>
        <v>83.20416640833281</v>
      </c>
      <c r="E109" s="12">
        <f t="shared" si="48"/>
        <v>65.286130572261158</v>
      </c>
      <c r="F109" s="12">
        <f t="shared" si="48"/>
        <v>35.836071672143341</v>
      </c>
      <c r="G109" s="12">
        <f t="shared" si="48"/>
        <v>33.480066960133911</v>
      </c>
      <c r="H109" s="12">
        <f t="shared" ref="H109:I109" si="49" xml:space="preserve"> AVERAGE(H73:H77)*10000</f>
        <v>35.898071796143583</v>
      </c>
      <c r="I109" s="12">
        <f t="shared" si="49"/>
        <v>36.20807241614483</v>
      </c>
    </row>
    <row r="110" spans="1:9" x14ac:dyDescent="0.2">
      <c r="A110" s="4"/>
      <c r="B110" s="5">
        <v>40</v>
      </c>
      <c r="C110" s="12">
        <f t="shared" ref="C110:G110" si="50" xml:space="preserve"> AVERAGE(C79:C83)*10000</f>
        <v>46.872093744187481</v>
      </c>
      <c r="D110" s="12">
        <f t="shared" si="50"/>
        <v>82.956165912331812</v>
      </c>
      <c r="E110" s="12">
        <f t="shared" si="50"/>
        <v>71.548143096286211</v>
      </c>
      <c r="F110" s="12">
        <f t="shared" si="50"/>
        <v>36.952073904147802</v>
      </c>
      <c r="G110" s="12">
        <f t="shared" si="50"/>
        <v>35.898071796143597</v>
      </c>
      <c r="H110" s="12">
        <f t="shared" ref="H110:I110" si="51" xml:space="preserve"> AVERAGE(H79:H83)*10000</f>
        <v>37.696075392150782</v>
      </c>
      <c r="I110" s="12">
        <f t="shared" si="51"/>
        <v>37.014074028148052</v>
      </c>
    </row>
    <row r="111" spans="1:9" x14ac:dyDescent="0.2">
      <c r="A111" s="4"/>
      <c r="B111" s="5">
        <v>50</v>
      </c>
      <c r="C111" s="12">
        <f t="shared" ref="C111:G111" si="52" xml:space="preserve"> AVERAGE(C85:C89)*10000</f>
        <v>49.662099324198635</v>
      </c>
      <c r="D111" s="12">
        <f t="shared" si="52"/>
        <v>86.738173476346944</v>
      </c>
      <c r="E111" s="12">
        <f t="shared" si="52"/>
        <v>75.640151280302547</v>
      </c>
      <c r="F111" s="12">
        <f t="shared" si="52"/>
        <v>37.882075764151523</v>
      </c>
      <c r="G111" s="12">
        <f t="shared" si="52"/>
        <v>36.394072788145579</v>
      </c>
      <c r="H111" s="12">
        <f t="shared" ref="H111:I111" si="53" xml:space="preserve"> AVERAGE(H85:H89)*10000</f>
        <v>40.052080104160204</v>
      </c>
      <c r="I111" s="12">
        <f t="shared" si="53"/>
        <v>37.572075144150276</v>
      </c>
    </row>
    <row r="112" spans="1:9" x14ac:dyDescent="0.2">
      <c r="A112" s="4"/>
      <c r="B112" s="5">
        <v>60</v>
      </c>
      <c r="C112" s="12">
        <f t="shared" ref="C112:G112" si="54" xml:space="preserve"> AVERAGE(C91:C95)*10000</f>
        <v>51.77010354020706</v>
      </c>
      <c r="D112" s="12">
        <f t="shared" si="54"/>
        <v>86.862173724347443</v>
      </c>
      <c r="E112" s="12">
        <f t="shared" si="54"/>
        <v>78.43015686031373</v>
      </c>
      <c r="F112" s="12">
        <f t="shared" si="54"/>
        <v>38.130076260152514</v>
      </c>
      <c r="G112" s="12">
        <f t="shared" si="54"/>
        <v>37.820075640151273</v>
      </c>
      <c r="H112" s="12">
        <f t="shared" ref="H112:I112" si="55" xml:space="preserve"> AVERAGE(H91:H95)*10000</f>
        <v>40.920081840163675</v>
      </c>
      <c r="I112" s="12">
        <f t="shared" si="55"/>
        <v>38.936077872155735</v>
      </c>
    </row>
    <row r="113" spans="1:9" x14ac:dyDescent="0.2">
      <c r="A113" s="4"/>
      <c r="B113" s="5"/>
      <c r="C113" s="12"/>
      <c r="D113" s="12"/>
      <c r="E113" s="7"/>
      <c r="F113" s="7"/>
      <c r="G113" s="7"/>
      <c r="H113" s="7"/>
    </row>
    <row r="114" spans="1:9" x14ac:dyDescent="0.2">
      <c r="A114" s="4"/>
      <c r="B114" s="5"/>
      <c r="C114" s="7"/>
      <c r="D114" s="7"/>
      <c r="E114" s="7"/>
      <c r="F114" s="7"/>
      <c r="G114" s="7"/>
      <c r="H114" s="7"/>
    </row>
    <row r="115" spans="1:9" x14ac:dyDescent="0.2">
      <c r="A115" s="4"/>
      <c r="B115" s="5"/>
      <c r="C115" s="7"/>
      <c r="D115" s="7"/>
      <c r="E115" s="7"/>
      <c r="F115" s="7"/>
      <c r="G115" s="4"/>
      <c r="H115" s="4"/>
    </row>
    <row r="116" spans="1:9" x14ac:dyDescent="0.2">
      <c r="A116" s="8" t="s">
        <v>14</v>
      </c>
      <c r="B116" s="8"/>
      <c r="C116" s="9"/>
      <c r="D116" s="9"/>
      <c r="E116" s="9"/>
      <c r="F116" s="13"/>
      <c r="G116" s="2"/>
      <c r="H116" s="2"/>
    </row>
    <row r="117" spans="1:9" ht="51" x14ac:dyDescent="0.2">
      <c r="A117" s="2"/>
      <c r="B117" s="3" t="s">
        <v>2</v>
      </c>
      <c r="C117" s="3" t="s">
        <v>8</v>
      </c>
      <c r="D117" s="3" t="s">
        <v>9</v>
      </c>
      <c r="E117" s="3" t="s">
        <v>10</v>
      </c>
      <c r="F117" s="3" t="s">
        <v>11</v>
      </c>
      <c r="G117" s="3" t="s">
        <v>12</v>
      </c>
      <c r="H117" s="3" t="s">
        <v>31</v>
      </c>
      <c r="I117" s="3" t="s">
        <v>32</v>
      </c>
    </row>
    <row r="118" spans="1:9" x14ac:dyDescent="0.2">
      <c r="A118" s="4"/>
      <c r="B118" s="5">
        <v>0</v>
      </c>
      <c r="C118" s="14">
        <f t="shared" ref="C118:G118" si="56" xml:space="preserve"> STDEV(C55:C59)*10000</f>
        <v>0</v>
      </c>
      <c r="D118" s="14">
        <f t="shared" si="56"/>
        <v>0</v>
      </c>
      <c r="E118" s="14">
        <f t="shared" si="56"/>
        <v>0</v>
      </c>
      <c r="F118" s="14">
        <f t="shared" si="56"/>
        <v>0</v>
      </c>
      <c r="G118" s="14">
        <f t="shared" si="56"/>
        <v>0</v>
      </c>
      <c r="H118" s="14">
        <f t="shared" ref="H118:I118" si="57" xml:space="preserve"> STDEV(H55:H59)*10000</f>
        <v>0</v>
      </c>
      <c r="I118" s="14">
        <f t="shared" si="57"/>
        <v>0</v>
      </c>
    </row>
    <row r="119" spans="1:9" x14ac:dyDescent="0.2">
      <c r="A119" s="4"/>
      <c r="B119" s="5">
        <v>10</v>
      </c>
      <c r="C119" s="14">
        <f t="shared" ref="C119:G119" si="58" xml:space="preserve"> STDEV(C61:C65)*10000</f>
        <v>1.3967239538804401</v>
      </c>
      <c r="D119" s="14">
        <f t="shared" si="58"/>
        <v>29.408097343100927</v>
      </c>
      <c r="E119" s="14">
        <f t="shared" si="58"/>
        <v>7.1984253326058711</v>
      </c>
      <c r="F119" s="14">
        <f t="shared" si="58"/>
        <v>0.99490399503262716</v>
      </c>
      <c r="G119" s="14">
        <f t="shared" si="58"/>
        <v>3.29097452466742</v>
      </c>
      <c r="H119" s="14">
        <f t="shared" ref="H119:I119" si="59" xml:space="preserve"> STDEV(H61:H65)*10000</f>
        <v>1.4769829809128414</v>
      </c>
      <c r="I119" s="14">
        <f t="shared" si="59"/>
        <v>1.3618874472372018</v>
      </c>
    </row>
    <row r="120" spans="1:9" x14ac:dyDescent="0.2">
      <c r="A120" s="4"/>
      <c r="B120" s="5">
        <v>20</v>
      </c>
      <c r="C120" s="14">
        <f t="shared" ref="C120:G120" si="60" xml:space="preserve"> STDEV(C67:C71)*10000</f>
        <v>1.9849724835491451</v>
      </c>
      <c r="D120" s="14">
        <f t="shared" si="60"/>
        <v>28.246993850097621</v>
      </c>
      <c r="E120" s="14">
        <f t="shared" si="60"/>
        <v>11.372418270845998</v>
      </c>
      <c r="F120" s="14">
        <f t="shared" si="60"/>
        <v>1.9159944373938191</v>
      </c>
      <c r="G120" s="14">
        <f t="shared" si="60"/>
        <v>3.4198562516018685</v>
      </c>
      <c r="H120" s="14">
        <f t="shared" ref="H120:I120" si="61" xml:space="preserve"> STDEV(H67:H71)*10000</f>
        <v>0.55454596751188279</v>
      </c>
      <c r="I120" s="14">
        <f t="shared" si="61"/>
        <v>1.0187659944916001</v>
      </c>
    </row>
    <row r="121" spans="1:9" x14ac:dyDescent="0.2">
      <c r="A121" s="4"/>
      <c r="B121" s="5">
        <v>30</v>
      </c>
      <c r="C121" s="14">
        <f t="shared" ref="C121:G121" si="62" xml:space="preserve"> STDEV(C73:C77)*10000</f>
        <v>2.2990261290519123</v>
      </c>
      <c r="D121" s="14">
        <f t="shared" si="62"/>
        <v>26.993738989715073</v>
      </c>
      <c r="E121" s="14">
        <f t="shared" si="62"/>
        <v>10.264251137758865</v>
      </c>
      <c r="F121" s="14">
        <f t="shared" si="62"/>
        <v>1.5897924737997517</v>
      </c>
      <c r="G121" s="14">
        <f t="shared" si="62"/>
        <v>2.9975633340278001</v>
      </c>
      <c r="H121" s="14">
        <f t="shared" ref="H121:I121" si="63" xml:space="preserve"> STDEV(H73:H77)*10000</f>
        <v>1.63155773661613</v>
      </c>
      <c r="I121" s="14">
        <f t="shared" si="63"/>
        <v>0.59629809850800863</v>
      </c>
    </row>
    <row r="122" spans="1:9" x14ac:dyDescent="0.2">
      <c r="A122" s="4"/>
      <c r="B122" s="5">
        <v>40</v>
      </c>
      <c r="C122" s="14">
        <f t="shared" ref="C122:G122" si="64" xml:space="preserve"> STDEV(C79:C83)*10000</f>
        <v>2.8530163965139881</v>
      </c>
      <c r="D122" s="14">
        <f t="shared" si="64"/>
        <v>21.839758192302483</v>
      </c>
      <c r="E122" s="14">
        <f t="shared" si="64"/>
        <v>9.1210801320939048</v>
      </c>
      <c r="F122" s="14">
        <f t="shared" si="64"/>
        <v>1.0374605078232693</v>
      </c>
      <c r="G122" s="14">
        <f t="shared" si="64"/>
        <v>3.1339207529543378</v>
      </c>
      <c r="H122" s="14">
        <f t="shared" ref="H122:I122" si="65" xml:space="preserve"> STDEV(H79:H83)*10000</f>
        <v>1.480232672368198</v>
      </c>
      <c r="I122" s="14">
        <f t="shared" si="65"/>
        <v>1.4474074685261022</v>
      </c>
    </row>
    <row r="123" spans="1:9" x14ac:dyDescent="0.2">
      <c r="A123" s="4"/>
      <c r="B123" s="5">
        <v>50</v>
      </c>
      <c r="C123" s="14">
        <f t="shared" ref="C123:G123" si="66" xml:space="preserve"> STDEV(C85:C89)*10000</f>
        <v>2.9196068393505157</v>
      </c>
      <c r="D123" s="14">
        <f t="shared" si="66"/>
        <v>20.912293496752767</v>
      </c>
      <c r="E123" s="14">
        <f t="shared" si="66"/>
        <v>10.96017702874555</v>
      </c>
      <c r="F123" s="14">
        <f t="shared" si="66"/>
        <v>1.2668371716599025</v>
      </c>
      <c r="G123" s="14">
        <f t="shared" si="66"/>
        <v>3.3574655754386078</v>
      </c>
      <c r="H123" s="14">
        <f t="shared" ref="H123:I123" si="67" xml:space="preserve"> STDEV(H85:H89)*10000</f>
        <v>1.7315692285658075</v>
      </c>
      <c r="I123" s="14">
        <f t="shared" si="67"/>
        <v>1.4440839108254837</v>
      </c>
    </row>
    <row r="124" spans="1:9" x14ac:dyDescent="0.2">
      <c r="A124" s="4"/>
      <c r="B124" s="5">
        <v>60</v>
      </c>
      <c r="C124" s="14">
        <f t="shared" ref="C124:G124" si="68" xml:space="preserve"> STDEV(C91:C95)*10000</f>
        <v>3.0531520248608448</v>
      </c>
      <c r="D124" s="14">
        <f t="shared" si="68"/>
        <v>18.232675330857763</v>
      </c>
      <c r="E124" s="14">
        <f t="shared" si="68"/>
        <v>9.7711684000709891</v>
      </c>
      <c r="F124" s="14">
        <f t="shared" si="68"/>
        <v>0.72701589680442502</v>
      </c>
      <c r="G124" s="14">
        <f t="shared" si="68"/>
        <v>3.1537897497327538</v>
      </c>
      <c r="H124" s="14">
        <f t="shared" ref="H124:I124" si="69" xml:space="preserve"> STDEV(H91:H95)*10000</f>
        <v>1.580699210612186</v>
      </c>
      <c r="I124" s="14">
        <f t="shared" si="69"/>
        <v>0.47013921780963169</v>
      </c>
    </row>
    <row r="125" spans="1:9" x14ac:dyDescent="0.2">
      <c r="A125" s="4"/>
      <c r="B125" s="5"/>
      <c r="C125" s="14"/>
      <c r="D125" s="14"/>
      <c r="E125" s="14"/>
      <c r="F125" s="14"/>
      <c r="G125" s="14"/>
      <c r="H125" s="14"/>
    </row>
    <row r="126" spans="1:9" x14ac:dyDescent="0.2">
      <c r="A126" s="4"/>
      <c r="B126" s="5"/>
      <c r="C126" s="5"/>
      <c r="D126" s="5"/>
      <c r="E126" s="5"/>
      <c r="F126" s="5"/>
      <c r="G126" s="4"/>
      <c r="H126" s="4"/>
    </row>
    <row r="127" spans="1:9" x14ac:dyDescent="0.2">
      <c r="A127" s="4"/>
      <c r="B127" s="5"/>
      <c r="C127" s="5"/>
      <c r="D127" s="5"/>
      <c r="E127" s="5"/>
      <c r="F127" s="5"/>
      <c r="G127" s="4"/>
      <c r="H127" s="4"/>
    </row>
    <row r="128" spans="1:9" x14ac:dyDescent="0.2">
      <c r="A128" s="8" t="s">
        <v>15</v>
      </c>
      <c r="B128" s="8"/>
      <c r="C128" s="3"/>
      <c r="D128" s="3"/>
      <c r="E128" s="3"/>
      <c r="F128" s="2"/>
      <c r="G128" s="2"/>
      <c r="H128" s="2"/>
    </row>
    <row r="129" spans="1:9" ht="51" x14ac:dyDescent="0.2">
      <c r="A129" s="2"/>
      <c r="B129" s="3" t="s">
        <v>2</v>
      </c>
      <c r="C129" s="3" t="s">
        <v>8</v>
      </c>
      <c r="D129" s="3" t="s">
        <v>9</v>
      </c>
      <c r="E129" s="3" t="s">
        <v>10</v>
      </c>
      <c r="F129" s="3" t="s">
        <v>11</v>
      </c>
      <c r="G129" s="3" t="s">
        <v>12</v>
      </c>
      <c r="H129" s="3" t="s">
        <v>31</v>
      </c>
      <c r="I129" s="3" t="s">
        <v>32</v>
      </c>
    </row>
    <row r="130" spans="1:9" x14ac:dyDescent="0.2">
      <c r="A130" s="4"/>
      <c r="B130" s="5">
        <v>0</v>
      </c>
      <c r="C130" s="7">
        <f t="shared" ref="C130:G130" si="70">AVERAGE(C55:C59)*25.8/AVERAGE(C4:C8)</f>
        <v>0</v>
      </c>
      <c r="D130" s="7">
        <f t="shared" si="70"/>
        <v>0</v>
      </c>
      <c r="E130" s="7">
        <f t="shared" si="70"/>
        <v>0</v>
      </c>
      <c r="F130" s="7">
        <f t="shared" si="70"/>
        <v>0</v>
      </c>
      <c r="G130" s="7">
        <f t="shared" si="70"/>
        <v>0</v>
      </c>
      <c r="H130" s="7">
        <f t="shared" ref="H130:I130" si="71">AVERAGE(H55:H59)*25.8/AVERAGE(H4:H8)</f>
        <v>0</v>
      </c>
      <c r="I130" s="7">
        <f t="shared" si="71"/>
        <v>0</v>
      </c>
    </row>
    <row r="131" spans="1:9" x14ac:dyDescent="0.2">
      <c r="A131" s="4"/>
      <c r="B131" s="5">
        <v>10</v>
      </c>
      <c r="C131" s="7">
        <f t="shared" ref="C131:G131" si="72">AVERAGE(C61:C65)*25.8/AVERAGE(C4:C8)</f>
        <v>0.2944084723827422</v>
      </c>
      <c r="D131" s="7">
        <f t="shared" si="72"/>
        <v>0.51129507853421308</v>
      </c>
      <c r="E131" s="7">
        <f t="shared" si="72"/>
        <v>0.38765658120571017</v>
      </c>
      <c r="F131" s="7">
        <f t="shared" si="72"/>
        <v>0.13836403442827419</v>
      </c>
      <c r="G131" s="7">
        <f t="shared" si="72"/>
        <v>0.13323378267704167</v>
      </c>
      <c r="H131" s="7">
        <f t="shared" ref="H131:I131" si="73">AVERAGE(H61:H65)*25.8/AVERAGE(H4:H8)</f>
        <v>0.27034172433201487</v>
      </c>
      <c r="I131" s="7">
        <f t="shared" si="73"/>
        <v>0.26548036289349886</v>
      </c>
    </row>
    <row r="132" spans="1:9" x14ac:dyDescent="0.2">
      <c r="A132" s="4"/>
      <c r="B132" s="5">
        <v>20</v>
      </c>
      <c r="C132" s="7">
        <f t="shared" ref="C132:G132" si="74">AVERAGE(C67:C71)*25.8/AVERAGE(C4:C8)</f>
        <v>0.32496487066958368</v>
      </c>
      <c r="D132" s="7">
        <f t="shared" si="74"/>
        <v>0.575148702744958</v>
      </c>
      <c r="E132" s="7">
        <f t="shared" si="74"/>
        <v>0.45881166285729463</v>
      </c>
      <c r="F132" s="7">
        <f t="shared" si="74"/>
        <v>0.21103594568585438</v>
      </c>
      <c r="G132" s="7">
        <f t="shared" si="74"/>
        <v>0.19386712090132405</v>
      </c>
      <c r="H132" s="7">
        <f t="shared" ref="H132:I132" si="75">AVERAGE(H67:H71)*25.8/AVERAGE(H4:H8)</f>
        <v>0.28107731627299737</v>
      </c>
      <c r="I132" s="7">
        <f t="shared" si="75"/>
        <v>0.27028109278307388</v>
      </c>
    </row>
    <row r="133" spans="1:9" x14ac:dyDescent="0.2">
      <c r="A133" s="4"/>
      <c r="B133" s="5">
        <v>30</v>
      </c>
      <c r="C133" s="7">
        <f t="shared" ref="C133:G133" si="76">AVERAGE(C73:C77)*25.8/AVERAGE(C4:C8)</f>
        <v>0.35649131334648354</v>
      </c>
      <c r="D133" s="7">
        <f t="shared" si="76"/>
        <v>0.62548586635634806</v>
      </c>
      <c r="E133" s="7">
        <f t="shared" si="76"/>
        <v>0.4865344219423276</v>
      </c>
      <c r="F133" s="7">
        <f t="shared" si="76"/>
        <v>0.23731279495413199</v>
      </c>
      <c r="G133" s="7">
        <f t="shared" si="76"/>
        <v>0.21540791211258231</v>
      </c>
      <c r="H133" s="7">
        <f t="shared" ref="H133:I133" si="77">AVERAGE(H73:H77)*25.8/AVERAGE(H4:H8)</f>
        <v>0.28254126062858592</v>
      </c>
      <c r="I133" s="7">
        <f t="shared" si="77"/>
        <v>0.28036262555118147</v>
      </c>
    </row>
    <row r="134" spans="1:9" x14ac:dyDescent="0.2">
      <c r="A134" s="4"/>
      <c r="B134" s="5">
        <v>40</v>
      </c>
      <c r="C134" s="7">
        <f t="shared" ref="C134:G134" si="78">AVERAGE(C79:C83)*25.8/AVERAGE(C4:C8)</f>
        <v>0.36667677944209737</v>
      </c>
      <c r="D134" s="7">
        <f t="shared" si="78"/>
        <v>0.62362152696333351</v>
      </c>
      <c r="E134" s="7">
        <f t="shared" si="78"/>
        <v>0.53320106640213305</v>
      </c>
      <c r="F134" s="7">
        <f t="shared" si="78"/>
        <v>0.24470315881083501</v>
      </c>
      <c r="G134" s="7">
        <f t="shared" si="78"/>
        <v>0.2309651502096022</v>
      </c>
      <c r="H134" s="7">
        <f t="shared" ref="H134:I134" si="79">AVERAGE(H79:H83)*25.8/AVERAGE(H4:H8)</f>
        <v>0.29669272273260833</v>
      </c>
      <c r="I134" s="7">
        <f t="shared" si="79"/>
        <v>0.28660357440762896</v>
      </c>
    </row>
    <row r="135" spans="1:9" x14ac:dyDescent="0.2">
      <c r="A135" s="4"/>
      <c r="B135" s="5">
        <v>50</v>
      </c>
      <c r="C135" s="7">
        <f t="shared" ref="C135:G135" si="80">AVERAGE(C85:C89)*25.8/AVERAGE(C4:C8)</f>
        <v>0.38850277821841261</v>
      </c>
      <c r="D135" s="7">
        <f t="shared" si="80"/>
        <v>0.65205270270680393</v>
      </c>
      <c r="E135" s="7">
        <f t="shared" si="80"/>
        <v>0.56369610139566895</v>
      </c>
      <c r="F135" s="7">
        <f t="shared" si="80"/>
        <v>0.25086179535808761</v>
      </c>
      <c r="G135" s="7">
        <f t="shared" si="80"/>
        <v>0.23415637853719601</v>
      </c>
      <c r="H135" s="7">
        <f t="shared" ref="H135:I135" si="81">AVERAGE(H85:H89)*25.8/AVERAGE(H4:H8)</f>
        <v>0.31523601790339639</v>
      </c>
      <c r="I135" s="7">
        <f t="shared" si="81"/>
        <v>0.29092423130824646</v>
      </c>
    </row>
    <row r="136" spans="1:9" x14ac:dyDescent="0.2">
      <c r="A136" s="4"/>
      <c r="B136" s="5">
        <v>60</v>
      </c>
      <c r="C136" s="7">
        <f t="shared" ref="C136:G136" si="82">AVERAGE(C91:C95)*25.8/AVERAGE(C4:C8)</f>
        <v>0.40499353284940642</v>
      </c>
      <c r="D136" s="7">
        <f t="shared" si="82"/>
        <v>0.65298487240331127</v>
      </c>
      <c r="E136" s="7">
        <f t="shared" si="82"/>
        <v>0.58448817070944381</v>
      </c>
      <c r="F136" s="7">
        <f t="shared" si="82"/>
        <v>0.25250409843735494</v>
      </c>
      <c r="G136" s="7">
        <f t="shared" si="82"/>
        <v>0.24333115997902818</v>
      </c>
      <c r="H136" s="7">
        <f t="shared" ref="H136:I136" si="83">AVERAGE(H91:H95)*25.8/AVERAGE(H4:H8)</f>
        <v>0.32206775822947614</v>
      </c>
      <c r="I136" s="7">
        <f t="shared" si="83"/>
        <v>0.30148583706531151</v>
      </c>
    </row>
    <row r="137" spans="1:9" x14ac:dyDescent="0.2">
      <c r="A137" s="4"/>
      <c r="B137" s="5"/>
      <c r="C137" s="7"/>
      <c r="D137" s="7"/>
      <c r="E137" s="5"/>
      <c r="F137" s="7"/>
      <c r="G137" s="7"/>
      <c r="H137" s="7"/>
    </row>
    <row r="138" spans="1:9" x14ac:dyDescent="0.2">
      <c r="A138" s="4"/>
      <c r="B138" s="5"/>
      <c r="C138" s="5"/>
      <c r="E138" s="5"/>
      <c r="F138" s="5"/>
      <c r="G138" s="4"/>
      <c r="H138" s="4"/>
    </row>
    <row r="139" spans="1:9" x14ac:dyDescent="0.2">
      <c r="A139" s="4"/>
      <c r="B139" s="5"/>
      <c r="C139" s="5"/>
      <c r="D139" s="5"/>
      <c r="E139" s="5"/>
      <c r="F139" s="5"/>
      <c r="G139" s="4"/>
      <c r="H139" s="4"/>
    </row>
    <row r="140" spans="1:9" x14ac:dyDescent="0.2">
      <c r="A140" s="8" t="s">
        <v>14</v>
      </c>
      <c r="B140" s="8"/>
      <c r="C140" s="9"/>
      <c r="D140" s="9"/>
      <c r="E140" s="9"/>
      <c r="F140" s="13"/>
      <c r="G140" s="2"/>
      <c r="H140" s="2"/>
    </row>
    <row r="141" spans="1:9" ht="51" x14ac:dyDescent="0.2">
      <c r="A141" s="2"/>
      <c r="B141" s="3" t="s">
        <v>2</v>
      </c>
      <c r="C141" s="3" t="s">
        <v>8</v>
      </c>
      <c r="D141" s="3" t="s">
        <v>9</v>
      </c>
      <c r="E141" s="3" t="s">
        <v>10</v>
      </c>
      <c r="F141" s="3" t="s">
        <v>11</v>
      </c>
      <c r="G141" s="3" t="s">
        <v>12</v>
      </c>
      <c r="H141" s="3" t="s">
        <v>31</v>
      </c>
      <c r="I141" s="3" t="s">
        <v>32</v>
      </c>
    </row>
    <row r="142" spans="1:9" x14ac:dyDescent="0.2">
      <c r="A142" s="4"/>
      <c r="B142" s="5">
        <v>0</v>
      </c>
      <c r="C142" s="7">
        <f xml:space="preserve"> STDEV(C55:C59)*22.58/AVERAGE(C4:C8)</f>
        <v>0</v>
      </c>
      <c r="D142" s="7">
        <f xml:space="preserve"> STDEV(D55:D59)*22.58/AVERAGE(D4:D8)</f>
        <v>0</v>
      </c>
      <c r="E142" s="7">
        <f t="shared" ref="E142:G142" si="84" xml:space="preserve"> STDEV(E55:E59)*22.58/AVERAGE(E4:E8)</f>
        <v>0</v>
      </c>
      <c r="F142" s="7">
        <f t="shared" si="84"/>
        <v>0</v>
      </c>
      <c r="G142" s="7">
        <f t="shared" si="84"/>
        <v>0</v>
      </c>
      <c r="H142" s="7">
        <f t="shared" ref="H142:I142" si="85" xml:space="preserve"> STDEV(H55:H59)*22.58/AVERAGE(H4:H8)</f>
        <v>0</v>
      </c>
      <c r="I142" s="7">
        <f t="shared" si="85"/>
        <v>0</v>
      </c>
    </row>
    <row r="143" spans="1:9" x14ac:dyDescent="0.2">
      <c r="A143" s="4"/>
      <c r="B143" s="5">
        <v>10</v>
      </c>
      <c r="C143" s="7">
        <f t="shared" ref="C143:G143" si="86" xml:space="preserve"> STDEV(C61:C65)*22.58/AVERAGE(C4:C8)</f>
        <v>9.5627734622863361E-3</v>
      </c>
      <c r="D143" s="7">
        <f xml:space="preserve"> STDEV(D61:D65)*22.58/AVERAGE(D4:D8)</f>
        <v>0.19348334440769782</v>
      </c>
      <c r="E143" s="7">
        <f t="shared" si="86"/>
        <v>4.6949868287186766E-2</v>
      </c>
      <c r="F143" s="7">
        <f t="shared" si="86"/>
        <v>5.7661530307589123E-3</v>
      </c>
      <c r="G143" s="7">
        <f t="shared" si="86"/>
        <v>1.8531223133912804E-2</v>
      </c>
      <c r="H143" s="7">
        <f t="shared" ref="H143:I143" si="87" xml:space="preserve"> STDEV(H61:H65)*22.58/AVERAGE(H4:H8)</f>
        <v>1.0173970625079914E-2</v>
      </c>
      <c r="I143" s="7">
        <f t="shared" si="87"/>
        <v>9.2291172144705926E-3</v>
      </c>
    </row>
    <row r="144" spans="1:9" x14ac:dyDescent="0.2">
      <c r="A144" s="4"/>
      <c r="B144" s="5">
        <v>20</v>
      </c>
      <c r="C144" s="7">
        <f t="shared" ref="C144:G144" si="88" xml:space="preserve"> STDEV(C67:C71)*22.58/AVERAGE(C4:C8)</f>
        <v>1.3590260363414099E-2</v>
      </c>
      <c r="D144" s="7">
        <f t="shared" si="88"/>
        <v>0.18584414951491962</v>
      </c>
      <c r="E144" s="7">
        <f t="shared" si="88"/>
        <v>7.4173658161670319E-2</v>
      </c>
      <c r="F144" s="7">
        <f t="shared" si="88"/>
        <v>1.1104505748550418E-2</v>
      </c>
      <c r="G144" s="7">
        <f t="shared" si="88"/>
        <v>1.9256946174855408E-2</v>
      </c>
      <c r="H144" s="7">
        <f t="shared" ref="H144:I144" si="89" xml:space="preserve"> STDEV(H67:H71)*22.58/AVERAGE(H4:H8)</f>
        <v>3.8199048036663551E-3</v>
      </c>
      <c r="I144" s="7">
        <f t="shared" si="89"/>
        <v>6.9038823996459562E-3</v>
      </c>
    </row>
    <row r="145" spans="1:9" x14ac:dyDescent="0.2">
      <c r="A145" s="4"/>
      <c r="B145" s="5">
        <v>30</v>
      </c>
      <c r="C145" s="7">
        <f t="shared" ref="C145:G145" si="90" xml:space="preserve"> STDEV(C73:C77)*22.58/AVERAGE(C4:C8)</f>
        <v>1.5740451787141351E-2</v>
      </c>
      <c r="D145" s="7">
        <f t="shared" si="90"/>
        <v>0.17759866736240276</v>
      </c>
      <c r="E145" s="7">
        <f t="shared" si="90"/>
        <v>6.6945924520680308E-2</v>
      </c>
      <c r="F145" s="7">
        <f t="shared" si="90"/>
        <v>9.2139409800817244E-3</v>
      </c>
      <c r="G145" s="7">
        <f t="shared" si="90"/>
        <v>1.687904740208173E-2</v>
      </c>
      <c r="H145" s="7">
        <f t="shared" ref="H145:I145" si="91" xml:space="preserve"> STDEV(H73:H77)*22.58/AVERAGE(H4:H8)</f>
        <v>1.1238735110674867E-2</v>
      </c>
      <c r="I145" s="7">
        <f t="shared" si="91"/>
        <v>4.0409396951713193E-3</v>
      </c>
    </row>
    <row r="146" spans="1:9" x14ac:dyDescent="0.2">
      <c r="A146" s="4"/>
      <c r="B146" s="5">
        <v>40</v>
      </c>
      <c r="C146" s="7">
        <f t="shared" ref="C146:G146" si="92" xml:space="preserve"> STDEV(C79:C83)*22.58/AVERAGE(C4:C8)</f>
        <v>1.9533386971887765E-2</v>
      </c>
      <c r="D146" s="7">
        <f t="shared" si="92"/>
        <v>0.14368931817662881</v>
      </c>
      <c r="E146" s="7">
        <f t="shared" si="92"/>
        <v>5.9489887170040556E-2</v>
      </c>
      <c r="F146" s="7">
        <f t="shared" si="92"/>
        <v>6.0127972963679201E-3</v>
      </c>
      <c r="G146" s="7">
        <f t="shared" si="92"/>
        <v>1.7646865486710461E-2</v>
      </c>
      <c r="H146" s="7">
        <f t="shared" ref="H146:I146" si="93" xml:space="preserve"> STDEV(H79:H83)*22.58/AVERAGE(H4:H8)</f>
        <v>1.0196355626014007E-2</v>
      </c>
      <c r="I146" s="7">
        <f t="shared" si="93"/>
        <v>9.8086616564583996E-3</v>
      </c>
    </row>
    <row r="147" spans="1:9" x14ac:dyDescent="0.2">
      <c r="A147" s="4"/>
      <c r="B147" s="5">
        <v>50</v>
      </c>
      <c r="C147" s="7">
        <f t="shared" ref="C147:G147" si="94" xml:space="preserve"> STDEV(C85:C89)*22.58/AVERAGE(C4:C8)</f>
        <v>1.9989303345219721E-2</v>
      </c>
      <c r="D147" s="7">
        <f t="shared" si="94"/>
        <v>0.13758729229506916</v>
      </c>
      <c r="E147" s="7">
        <f t="shared" si="94"/>
        <v>7.1484921233123777E-2</v>
      </c>
      <c r="F147" s="7">
        <f t="shared" si="94"/>
        <v>7.3421928480699675E-3</v>
      </c>
      <c r="G147" s="7">
        <f t="shared" si="94"/>
        <v>1.8905629100599442E-2</v>
      </c>
      <c r="H147" s="7">
        <f t="shared" ref="H147:I147" si="95" xml:space="preserve"> STDEV(H85:H89)*22.58/AVERAGE(H4:H8)</f>
        <v>1.1927648926484421E-2</v>
      </c>
      <c r="I147" s="7">
        <f t="shared" si="95"/>
        <v>9.7861388674788177E-3</v>
      </c>
    </row>
    <row r="148" spans="1:9" x14ac:dyDescent="0.2">
      <c r="A148" s="4"/>
      <c r="B148" s="5">
        <v>60</v>
      </c>
      <c r="C148" s="7">
        <f t="shared" ref="C148:G148" si="96" xml:space="preserve"> STDEV(C91:C95)*22.58/AVERAGE(C4:C8)</f>
        <v>2.0903630297561517E-2</v>
      </c>
      <c r="D148" s="7">
        <f t="shared" si="96"/>
        <v>0.11995740354626115</v>
      </c>
      <c r="E148" s="7">
        <f t="shared" si="96"/>
        <v>6.372991983639599E-2</v>
      </c>
      <c r="F148" s="7">
        <f t="shared" si="96"/>
        <v>4.2135572253192803E-3</v>
      </c>
      <c r="G148" s="7">
        <f t="shared" si="96"/>
        <v>1.775874627156249E-2</v>
      </c>
      <c r="H148" s="7">
        <f t="shared" ref="H148:I148" si="97" xml:space="preserve"> STDEV(H91:H95)*22.58/AVERAGE(H4:H8)</f>
        <v>1.0888403958396327E-2</v>
      </c>
      <c r="I148" s="7">
        <f t="shared" si="97"/>
        <v>3.185997460426616E-3</v>
      </c>
    </row>
    <row r="149" spans="1:9" x14ac:dyDescent="0.2">
      <c r="A149" s="4"/>
      <c r="B149" s="5"/>
      <c r="C149" s="6"/>
      <c r="D149" s="6"/>
      <c r="E149" s="6"/>
      <c r="F149" s="6"/>
      <c r="G149" s="6"/>
      <c r="H149" s="6"/>
    </row>
    <row r="150" spans="1:9" x14ac:dyDescent="0.2">
      <c r="A150" s="4"/>
      <c r="B150" s="5"/>
      <c r="C150" s="15"/>
      <c r="D150" s="15"/>
      <c r="E150" s="15"/>
      <c r="F150" s="15"/>
      <c r="G150" s="15"/>
      <c r="H150" s="15"/>
    </row>
    <row r="151" spans="1:9" x14ac:dyDescent="0.2">
      <c r="A151" s="4"/>
      <c r="B151" s="5"/>
      <c r="C151" s="5"/>
      <c r="D151" s="5"/>
      <c r="E151" s="5"/>
      <c r="F151" s="5"/>
      <c r="G151" s="4"/>
      <c r="H151" s="4"/>
    </row>
    <row r="152" spans="1:9" x14ac:dyDescent="0.2">
      <c r="A152" s="4"/>
      <c r="B152" s="5"/>
      <c r="C152" s="5"/>
      <c r="D152" s="5"/>
      <c r="E152" s="5"/>
      <c r="F152" s="5"/>
      <c r="G152" s="4"/>
      <c r="H152" s="4"/>
    </row>
    <row r="153" spans="1:9" x14ac:dyDescent="0.2">
      <c r="A153" s="4"/>
      <c r="B153" s="5"/>
      <c r="C153" s="5"/>
      <c r="D153" s="5"/>
      <c r="E153" s="5"/>
      <c r="F153" s="5"/>
      <c r="G153" s="4"/>
      <c r="H153" s="4"/>
    </row>
    <row r="154" spans="1:9" x14ac:dyDescent="0.2">
      <c r="A154" s="4"/>
      <c r="B154" s="5"/>
      <c r="C154" s="5"/>
      <c r="D154" s="5"/>
      <c r="E154" s="5"/>
      <c r="F154" s="5"/>
      <c r="G154" s="4"/>
      <c r="H154" s="4"/>
    </row>
    <row r="155" spans="1:9" x14ac:dyDescent="0.2">
      <c r="A155" s="4"/>
      <c r="B155" s="5"/>
      <c r="C155" s="5"/>
      <c r="D155" s="5"/>
      <c r="E155" s="5"/>
      <c r="F155" s="5"/>
      <c r="G155" s="4"/>
      <c r="H155" s="4"/>
    </row>
    <row r="156" spans="1:9" x14ac:dyDescent="0.2">
      <c r="A156" s="4"/>
      <c r="B156" s="5"/>
      <c r="C156" s="5"/>
      <c r="D156" s="5"/>
      <c r="E156" s="5"/>
      <c r="F156" s="5"/>
      <c r="G156" s="4"/>
      <c r="H156" s="4"/>
    </row>
    <row r="157" spans="1:9" x14ac:dyDescent="0.2">
      <c r="A157" s="4"/>
      <c r="B157" s="5"/>
      <c r="C157" s="5"/>
      <c r="D157" s="5"/>
      <c r="E157" s="5"/>
      <c r="F157" s="5"/>
      <c r="G157" s="4"/>
      <c r="H157" s="4"/>
    </row>
    <row r="158" spans="1:9" x14ac:dyDescent="0.2">
      <c r="A158" s="4"/>
      <c r="B158" s="5"/>
      <c r="C158" s="5"/>
      <c r="D158" s="5"/>
      <c r="E158" s="5"/>
      <c r="F158" s="5"/>
      <c r="G158" s="4"/>
      <c r="H158" s="4"/>
    </row>
    <row r="159" spans="1:9" x14ac:dyDescent="0.2">
      <c r="A159" s="4"/>
      <c r="B159" s="5"/>
      <c r="C159" s="5"/>
      <c r="D159" s="5"/>
      <c r="E159" s="5"/>
      <c r="F159" s="5"/>
      <c r="G159" s="4"/>
      <c r="H159" s="4"/>
    </row>
    <row r="160" spans="1:9" x14ac:dyDescent="0.2">
      <c r="A160" s="4"/>
      <c r="B160" s="5"/>
      <c r="C160" s="5"/>
      <c r="D160" s="5"/>
      <c r="E160" s="5"/>
      <c r="F160" s="5"/>
      <c r="G160" s="4"/>
      <c r="H160" s="4"/>
    </row>
    <row r="161" spans="1:8" x14ac:dyDescent="0.2">
      <c r="A161" s="4"/>
      <c r="B161" s="5"/>
      <c r="C161" s="5"/>
      <c r="D161" s="5"/>
      <c r="E161" s="5"/>
      <c r="F161" s="5"/>
      <c r="G161" s="4"/>
      <c r="H161" s="4"/>
    </row>
    <row r="162" spans="1:8" x14ac:dyDescent="0.2">
      <c r="A162" s="4"/>
      <c r="B162" s="5"/>
      <c r="C162" s="5"/>
      <c r="D162" s="5"/>
      <c r="E162" s="5"/>
      <c r="F162" s="5"/>
      <c r="G162" s="4"/>
      <c r="H162" s="4"/>
    </row>
    <row r="163" spans="1:8" x14ac:dyDescent="0.2">
      <c r="A163" s="4"/>
      <c r="B163" s="5"/>
      <c r="C163" s="5"/>
      <c r="D163" s="5"/>
      <c r="E163" s="5"/>
      <c r="F163" s="5"/>
      <c r="G163" s="4"/>
      <c r="H163" s="4"/>
    </row>
    <row r="164" spans="1:8" x14ac:dyDescent="0.2">
      <c r="A164" s="4"/>
      <c r="B164" s="5"/>
      <c r="C164" s="5"/>
      <c r="D164" s="5"/>
      <c r="E164" s="5"/>
      <c r="F164" s="5"/>
      <c r="G164" s="4"/>
      <c r="H164" s="4"/>
    </row>
    <row r="165" spans="1:8" x14ac:dyDescent="0.2">
      <c r="A165" s="4"/>
      <c r="B165" s="5"/>
      <c r="C165" s="5"/>
      <c r="D165" s="5"/>
      <c r="E165" s="5"/>
      <c r="F165" s="5"/>
      <c r="G165" s="4"/>
      <c r="H165" s="4"/>
    </row>
    <row r="166" spans="1:8" x14ac:dyDescent="0.2">
      <c r="A166" s="4"/>
      <c r="B166" s="5"/>
      <c r="C166" s="5"/>
      <c r="D166" s="5"/>
      <c r="E166" s="5"/>
      <c r="F166" s="5"/>
      <c r="G166" s="4"/>
      <c r="H166" s="4"/>
    </row>
    <row r="167" spans="1:8" x14ac:dyDescent="0.2">
      <c r="A167" s="4"/>
      <c r="B167" s="5"/>
      <c r="C167" s="5"/>
      <c r="D167" s="5"/>
      <c r="E167" s="5"/>
      <c r="F167" s="5"/>
      <c r="G167" s="4"/>
      <c r="H167" s="4"/>
    </row>
    <row r="168" spans="1:8" x14ac:dyDescent="0.2">
      <c r="A168" s="4"/>
      <c r="B168" s="5"/>
      <c r="C168" s="5"/>
      <c r="D168" s="5"/>
      <c r="E168" s="5"/>
      <c r="F168" s="5"/>
      <c r="G168" s="4"/>
      <c r="H168" s="4"/>
    </row>
    <row r="169" spans="1:8" x14ac:dyDescent="0.2">
      <c r="A169" s="4"/>
      <c r="B169" s="5"/>
      <c r="C169" s="5"/>
      <c r="D169" s="5"/>
      <c r="E169" s="5"/>
      <c r="F169" s="5"/>
      <c r="G169" s="4"/>
      <c r="H169" s="4"/>
    </row>
    <row r="170" spans="1:8" x14ac:dyDescent="0.2">
      <c r="A170" s="4"/>
      <c r="B170" s="5"/>
      <c r="C170" s="5"/>
      <c r="D170" s="5"/>
      <c r="E170" s="5"/>
      <c r="F170" s="5"/>
      <c r="G170" s="4"/>
      <c r="H170" s="4"/>
    </row>
    <row r="171" spans="1:8" x14ac:dyDescent="0.2">
      <c r="A171" s="4"/>
      <c r="B171" s="5"/>
      <c r="C171" s="5"/>
      <c r="D171" s="5"/>
      <c r="E171" s="5"/>
      <c r="F171" s="5"/>
      <c r="G171" s="4"/>
      <c r="H171" s="4"/>
    </row>
    <row r="172" spans="1:8" x14ac:dyDescent="0.2">
      <c r="A172" s="4"/>
      <c r="B172" s="5"/>
      <c r="C172" s="5"/>
      <c r="D172" s="5"/>
      <c r="E172" s="5"/>
      <c r="F172" s="5"/>
      <c r="G172" s="4"/>
      <c r="H172" s="4"/>
    </row>
    <row r="173" spans="1:8" x14ac:dyDescent="0.2">
      <c r="A173" s="4"/>
      <c r="B173" s="5"/>
      <c r="C173" s="5"/>
      <c r="D173" s="5"/>
      <c r="E173" s="5"/>
      <c r="F173" s="5"/>
      <c r="G173" s="4"/>
      <c r="H173" s="4"/>
    </row>
    <row r="174" spans="1:8" x14ac:dyDescent="0.2">
      <c r="A174" s="4"/>
      <c r="B174" s="5"/>
      <c r="C174" s="5"/>
      <c r="D174" s="5"/>
      <c r="E174" s="5"/>
      <c r="F174" s="5"/>
      <c r="G174" s="4"/>
      <c r="H174" s="4"/>
    </row>
    <row r="175" spans="1:8" x14ac:dyDescent="0.2">
      <c r="A175" s="4"/>
      <c r="B175" s="5"/>
      <c r="C175" s="5"/>
      <c r="D175" s="5"/>
      <c r="E175" s="5"/>
      <c r="F175" s="5"/>
      <c r="G175" s="4"/>
      <c r="H175" s="4"/>
    </row>
    <row r="176" spans="1:8" x14ac:dyDescent="0.2">
      <c r="A176" s="4"/>
      <c r="B176" s="5"/>
      <c r="C176" s="5"/>
      <c r="D176" s="5"/>
      <c r="E176" s="5"/>
      <c r="F176" s="5"/>
      <c r="G176" s="4"/>
      <c r="H176" s="4"/>
    </row>
    <row r="177" spans="1:8" x14ac:dyDescent="0.2">
      <c r="A177" s="4"/>
      <c r="B177" s="5"/>
      <c r="C177" s="5"/>
      <c r="D177" s="5"/>
      <c r="E177" s="5"/>
      <c r="F177" s="5"/>
      <c r="G177" s="4"/>
      <c r="H177" s="4"/>
    </row>
    <row r="178" spans="1:8" x14ac:dyDescent="0.2">
      <c r="A178" s="4"/>
      <c r="B178" s="5"/>
      <c r="C178" s="5"/>
      <c r="D178" s="5"/>
      <c r="E178" s="5"/>
      <c r="F178" s="5"/>
      <c r="G178" s="4"/>
      <c r="H178" s="4"/>
    </row>
    <row r="179" spans="1:8" x14ac:dyDescent="0.2">
      <c r="A179" s="4"/>
      <c r="B179" s="5"/>
      <c r="C179" s="5"/>
      <c r="D179" s="5"/>
      <c r="E179" s="5"/>
      <c r="F179" s="5"/>
      <c r="G179" s="4"/>
      <c r="H179" s="4"/>
    </row>
    <row r="180" spans="1:8" x14ac:dyDescent="0.2">
      <c r="A180" s="4"/>
      <c r="B180" s="5"/>
      <c r="C180" s="5"/>
      <c r="D180" s="5"/>
      <c r="E180" s="5"/>
      <c r="F180" s="5"/>
      <c r="G180" s="4"/>
      <c r="H180" s="4"/>
    </row>
    <row r="181" spans="1:8" x14ac:dyDescent="0.2">
      <c r="A181" s="4"/>
      <c r="B181" s="5"/>
      <c r="C181" s="5"/>
      <c r="D181" s="5"/>
      <c r="E181" s="5"/>
      <c r="F181" s="5"/>
      <c r="G181" s="4"/>
      <c r="H181" s="4"/>
    </row>
    <row r="182" spans="1:8" x14ac:dyDescent="0.2">
      <c r="A182" s="4"/>
      <c r="B182" s="5"/>
      <c r="C182" s="5"/>
      <c r="D182" s="5"/>
      <c r="E182" s="5"/>
      <c r="F182" s="5"/>
      <c r="G182" s="4"/>
      <c r="H182" s="4"/>
    </row>
    <row r="183" spans="1:8" x14ac:dyDescent="0.2">
      <c r="A183" s="4"/>
      <c r="B183" s="5"/>
      <c r="C183" s="5"/>
      <c r="D183" s="5"/>
      <c r="E183" s="5"/>
      <c r="F183" s="5"/>
      <c r="G183" s="4"/>
      <c r="H183" s="4"/>
    </row>
    <row r="184" spans="1:8" x14ac:dyDescent="0.2">
      <c r="A184" s="4"/>
      <c r="B184" s="5"/>
      <c r="C184" s="5"/>
      <c r="D184" s="5"/>
      <c r="E184" s="5"/>
      <c r="F184" s="5"/>
      <c r="G184" s="4"/>
      <c r="H184" s="4"/>
    </row>
    <row r="185" spans="1:8" x14ac:dyDescent="0.2">
      <c r="A185" s="4"/>
      <c r="B185" s="5"/>
      <c r="C185" s="5"/>
      <c r="D185" s="5"/>
      <c r="E185" s="5"/>
      <c r="F185" s="5"/>
      <c r="G185" s="4"/>
      <c r="H185" s="4"/>
    </row>
    <row r="186" spans="1:8" x14ac:dyDescent="0.2">
      <c r="A186" s="4"/>
      <c r="B186" s="5"/>
      <c r="C186" s="5"/>
      <c r="D186" s="5"/>
      <c r="E186" s="5"/>
      <c r="F186" s="5"/>
      <c r="G186" s="4"/>
      <c r="H186" s="4"/>
    </row>
    <row r="187" spans="1:8" x14ac:dyDescent="0.2">
      <c r="A187" s="4"/>
      <c r="B187" s="5"/>
      <c r="C187" s="5"/>
      <c r="D187" s="5"/>
      <c r="E187" s="5"/>
      <c r="F187" s="5"/>
      <c r="G187" s="4"/>
      <c r="H187" s="4"/>
    </row>
    <row r="188" spans="1:8" x14ac:dyDescent="0.2">
      <c r="A188" s="4"/>
      <c r="B188" s="5"/>
      <c r="C188" s="5"/>
      <c r="D188" s="5"/>
      <c r="E188" s="5"/>
      <c r="F188" s="5"/>
      <c r="G188" s="4"/>
      <c r="H188" s="4"/>
    </row>
    <row r="189" spans="1:8" x14ac:dyDescent="0.2">
      <c r="A189" s="4"/>
      <c r="B189" s="5"/>
      <c r="C189" s="5"/>
      <c r="D189" s="5"/>
      <c r="E189" s="5"/>
      <c r="F189" s="5"/>
      <c r="G189" s="4"/>
      <c r="H189" s="4"/>
    </row>
    <row r="190" spans="1:8" x14ac:dyDescent="0.2">
      <c r="A190" s="4"/>
      <c r="B190" s="5"/>
      <c r="C190" s="5"/>
      <c r="D190" s="5"/>
      <c r="E190" s="5"/>
      <c r="F190" s="5"/>
      <c r="G190" s="4"/>
      <c r="H190" s="4"/>
    </row>
    <row r="191" spans="1:8" x14ac:dyDescent="0.2">
      <c r="A191" s="4"/>
      <c r="B191" s="5"/>
      <c r="C191" s="5"/>
      <c r="D191" s="5"/>
      <c r="E191" s="5"/>
      <c r="F191" s="5"/>
      <c r="G191" s="4"/>
      <c r="H191" s="4"/>
    </row>
    <row r="192" spans="1:8" x14ac:dyDescent="0.2">
      <c r="A192" s="4"/>
      <c r="B192" s="5"/>
      <c r="C192" s="5"/>
      <c r="D192" s="5"/>
      <c r="E192" s="5"/>
      <c r="F192" s="5"/>
      <c r="G192" s="4"/>
      <c r="H192" s="4"/>
    </row>
    <row r="193" spans="1:8" x14ac:dyDescent="0.2">
      <c r="A193" s="4"/>
      <c r="B193" s="5"/>
      <c r="C193" s="5"/>
      <c r="D193" s="5"/>
      <c r="E193" s="5"/>
      <c r="F193" s="5"/>
      <c r="G193" s="4"/>
      <c r="H193" s="4"/>
    </row>
    <row r="194" spans="1:8" x14ac:dyDescent="0.2">
      <c r="A194" s="4"/>
      <c r="B194" s="5"/>
      <c r="C194" s="5"/>
      <c r="D194" s="5"/>
      <c r="E194" s="5"/>
      <c r="F194" s="5"/>
      <c r="G194" s="4"/>
      <c r="H194" s="4"/>
    </row>
    <row r="195" spans="1:8" x14ac:dyDescent="0.2">
      <c r="A195" s="4"/>
      <c r="B195" s="5"/>
      <c r="C195" s="5"/>
      <c r="D195" s="5"/>
      <c r="E195" s="5"/>
      <c r="F195" s="5"/>
      <c r="G195" s="4"/>
      <c r="H195" s="4"/>
    </row>
    <row r="196" spans="1:8" x14ac:dyDescent="0.2">
      <c r="A196" s="4"/>
      <c r="B196" s="5"/>
      <c r="C196" s="5"/>
      <c r="D196" s="5"/>
      <c r="E196" s="5"/>
      <c r="F196" s="5"/>
      <c r="G196" s="4"/>
      <c r="H196" s="4"/>
    </row>
    <row r="197" spans="1:8" x14ac:dyDescent="0.2">
      <c r="A197" s="4"/>
      <c r="B197" s="5"/>
      <c r="C197" s="5"/>
      <c r="D197" s="5"/>
      <c r="E197" s="5"/>
      <c r="F197" s="5"/>
      <c r="G197" s="4"/>
      <c r="H197" s="4"/>
    </row>
  </sheetData>
  <mergeCells count="2">
    <mergeCell ref="A2:E2"/>
    <mergeCell ref="A53:E5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2020B-8186-F84C-A299-01D2941B7A3F}">
  <dimension ref="A1:R160"/>
  <sheetViews>
    <sheetView topLeftCell="A59" zoomScale="81" zoomScaleNormal="81" workbookViewId="0">
      <selection activeCell="R130" sqref="R130:R148"/>
    </sheetView>
  </sheetViews>
  <sheetFormatPr baseColWidth="10" defaultRowHeight="16" x14ac:dyDescent="0.2"/>
  <cols>
    <col min="11" max="11" width="12.83203125" customWidth="1"/>
    <col min="12" max="12" width="12.6640625" customWidth="1"/>
    <col min="13" max="13" width="12.83203125" customWidth="1"/>
    <col min="17" max="17" width="12.83203125" customWidth="1"/>
    <col min="18" max="18" width="12.33203125" customWidth="1"/>
  </cols>
  <sheetData>
    <row r="1" spans="1:18" x14ac:dyDescent="0.2">
      <c r="A1" s="1" t="s">
        <v>7</v>
      </c>
      <c r="B1" s="2"/>
      <c r="C1" s="3"/>
      <c r="D1" s="3"/>
      <c r="E1" s="3"/>
      <c r="F1" s="3"/>
      <c r="G1" s="2"/>
      <c r="H1" s="2"/>
    </row>
    <row r="2" spans="1:18" x14ac:dyDescent="0.2">
      <c r="A2" s="28" t="s">
        <v>0</v>
      </c>
      <c r="B2" s="28"/>
      <c r="C2" s="28"/>
      <c r="D2" s="28"/>
      <c r="E2" s="28"/>
      <c r="F2" s="2"/>
      <c r="G2" s="2"/>
      <c r="H2" s="2"/>
    </row>
    <row r="3" spans="1:18" ht="51" x14ac:dyDescent="0.2">
      <c r="A3" s="2" t="s">
        <v>1</v>
      </c>
      <c r="B3" s="3" t="s">
        <v>2</v>
      </c>
      <c r="C3" s="3" t="s">
        <v>8</v>
      </c>
      <c r="D3" s="3" t="s">
        <v>9</v>
      </c>
      <c r="E3" s="3" t="s">
        <v>10</v>
      </c>
      <c r="F3" s="3" t="s">
        <v>31</v>
      </c>
      <c r="G3" s="3" t="s">
        <v>32</v>
      </c>
      <c r="I3" s="3" t="s">
        <v>10</v>
      </c>
      <c r="J3" s="3" t="s">
        <v>35</v>
      </c>
      <c r="K3" s="3" t="s">
        <v>31</v>
      </c>
      <c r="L3" s="3" t="s">
        <v>36</v>
      </c>
      <c r="M3" s="3" t="s">
        <v>32</v>
      </c>
      <c r="O3" s="3" t="s">
        <v>28</v>
      </c>
      <c r="P3" s="3" t="s">
        <v>23</v>
      </c>
      <c r="Q3" s="3" t="s">
        <v>24</v>
      </c>
      <c r="R3" s="3" t="s">
        <v>11</v>
      </c>
    </row>
    <row r="4" spans="1:18" x14ac:dyDescent="0.2">
      <c r="A4" s="4">
        <v>1</v>
      </c>
      <c r="B4" s="5">
        <v>0</v>
      </c>
      <c r="C4" s="10">
        <v>0.32800000000000001</v>
      </c>
      <c r="D4" s="10">
        <v>0.34100000000000003</v>
      </c>
      <c r="E4" s="11">
        <v>0.32600000000000001</v>
      </c>
      <c r="F4" s="11">
        <v>0.32100000000000001</v>
      </c>
      <c r="G4" s="11">
        <v>0.32200000000000001</v>
      </c>
      <c r="I4" s="11">
        <v>0.33</v>
      </c>
      <c r="J4" s="11">
        <v>0.33500000000000002</v>
      </c>
      <c r="K4" s="11">
        <v>0.34200000000000003</v>
      </c>
      <c r="L4" s="11">
        <v>0.32500000000000001</v>
      </c>
      <c r="M4" s="11">
        <v>0.32800000000000001</v>
      </c>
      <c r="N4" s="24"/>
      <c r="O4" s="11">
        <v>0.34699999999999998</v>
      </c>
      <c r="P4" s="11">
        <v>0.32700000000000001</v>
      </c>
      <c r="Q4" s="11">
        <v>0.36299999999999999</v>
      </c>
      <c r="R4" s="11">
        <v>0.38900000000000001</v>
      </c>
    </row>
    <row r="5" spans="1:18" x14ac:dyDescent="0.2">
      <c r="A5" s="4">
        <v>2</v>
      </c>
      <c r="B5" s="5">
        <v>0</v>
      </c>
      <c r="C5" s="10">
        <v>0.33200000000000002</v>
      </c>
      <c r="D5" s="10">
        <v>0.34</v>
      </c>
      <c r="E5" s="11">
        <v>0.32700000000000001</v>
      </c>
      <c r="F5" s="11">
        <v>0.316</v>
      </c>
      <c r="G5" s="11">
        <v>0.33100000000000002</v>
      </c>
      <c r="I5" s="11">
        <v>0.32500000000000001</v>
      </c>
      <c r="J5" s="11">
        <v>0.32700000000000001</v>
      </c>
      <c r="K5" s="11">
        <v>0.32900000000000001</v>
      </c>
      <c r="L5" s="11">
        <v>0.33800000000000002</v>
      </c>
      <c r="M5" s="11">
        <v>0.32800000000000001</v>
      </c>
      <c r="N5" s="24"/>
      <c r="O5" s="11">
        <v>0.32600000000000001</v>
      </c>
      <c r="P5" s="11">
        <v>0.34499999999999997</v>
      </c>
      <c r="Q5" s="11">
        <v>0.35699999999999998</v>
      </c>
      <c r="R5" s="11">
        <v>0.38800000000000001</v>
      </c>
    </row>
    <row r="6" spans="1:18" x14ac:dyDescent="0.2">
      <c r="A6" s="4">
        <v>3</v>
      </c>
      <c r="B6" s="5">
        <v>0</v>
      </c>
      <c r="C6" s="10">
        <v>0.33</v>
      </c>
      <c r="D6" s="10">
        <v>0.33600000000000002</v>
      </c>
      <c r="E6" s="11">
        <v>0.34100000000000003</v>
      </c>
      <c r="F6" s="11">
        <v>0.33</v>
      </c>
      <c r="G6" s="11">
        <v>0.32500000000000001</v>
      </c>
      <c r="I6" s="11">
        <v>0.32</v>
      </c>
      <c r="J6" s="11">
        <v>0.33600000000000002</v>
      </c>
      <c r="K6" s="11">
        <v>0.32600000000000001</v>
      </c>
      <c r="L6" s="11">
        <v>0.34</v>
      </c>
      <c r="M6" s="11">
        <v>0.32700000000000001</v>
      </c>
      <c r="O6" s="11">
        <v>0.33500000000000002</v>
      </c>
      <c r="P6" s="11">
        <v>0.34</v>
      </c>
      <c r="Q6" s="11">
        <v>0.35299999999999998</v>
      </c>
      <c r="R6" s="11">
        <v>0.38900000000000001</v>
      </c>
    </row>
    <row r="7" spans="1:18" x14ac:dyDescent="0.2">
      <c r="A7" s="4">
        <v>4</v>
      </c>
      <c r="B7" s="5">
        <v>0</v>
      </c>
      <c r="C7" s="10">
        <v>0.32100000000000001</v>
      </c>
      <c r="D7" s="10">
        <v>0.33600000000000002</v>
      </c>
      <c r="E7" s="11">
        <v>0.33900000000000002</v>
      </c>
      <c r="F7" s="11">
        <v>0.33</v>
      </c>
      <c r="G7" s="11">
        <v>0.33600000000000002</v>
      </c>
      <c r="I7" s="11">
        <v>0.32900000000000001</v>
      </c>
      <c r="J7" s="11">
        <v>0.34</v>
      </c>
      <c r="K7" s="11">
        <v>0.31900000000000001</v>
      </c>
      <c r="L7" s="11">
        <v>0.32700000000000001</v>
      </c>
      <c r="M7" s="11">
        <v>0.33900000000000002</v>
      </c>
      <c r="O7" s="11">
        <v>0.34399999999999997</v>
      </c>
      <c r="P7" s="11">
        <v>0.32300000000000001</v>
      </c>
      <c r="Q7" s="11">
        <v>0.35</v>
      </c>
      <c r="R7" s="11">
        <v>0.38900000000000001</v>
      </c>
    </row>
    <row r="8" spans="1:18" x14ac:dyDescent="0.2">
      <c r="A8" s="4">
        <v>5</v>
      </c>
      <c r="B8" s="5">
        <v>0</v>
      </c>
      <c r="C8" s="10">
        <v>0.33800000000000002</v>
      </c>
      <c r="D8" s="10">
        <v>0.33100000000000002</v>
      </c>
      <c r="E8" s="11">
        <v>0.33700000000000002</v>
      </c>
      <c r="F8" s="11">
        <v>0.32800000000000001</v>
      </c>
      <c r="G8" s="11">
        <v>0.32100000000000001</v>
      </c>
      <c r="I8" s="11">
        <v>0.32800000000000001</v>
      </c>
      <c r="J8" s="11">
        <v>0.32100000000000001</v>
      </c>
      <c r="K8" s="11">
        <v>0.32300000000000001</v>
      </c>
      <c r="L8" s="11">
        <v>0.32</v>
      </c>
      <c r="M8" s="11">
        <v>0.33700000000000002</v>
      </c>
      <c r="O8" s="11">
        <v>0.33200000000000002</v>
      </c>
      <c r="P8" s="11">
        <v>0.34300000000000003</v>
      </c>
      <c r="Q8" s="11">
        <v>0.36699999999999999</v>
      </c>
      <c r="R8" s="11">
        <v>0.39300000000000002</v>
      </c>
    </row>
    <row r="9" spans="1:18" x14ac:dyDescent="0.2">
      <c r="A9" s="4"/>
      <c r="B9" s="5"/>
      <c r="E9" s="11"/>
      <c r="R9" s="11"/>
    </row>
    <row r="10" spans="1:18" x14ac:dyDescent="0.2">
      <c r="A10" s="4">
        <v>1</v>
      </c>
      <c r="B10" s="5">
        <v>10</v>
      </c>
      <c r="C10" s="10">
        <v>0.44900000000000001</v>
      </c>
      <c r="D10" s="10">
        <v>0.47899999999999998</v>
      </c>
      <c r="E10" s="11">
        <v>0.629</v>
      </c>
      <c r="F10" s="11">
        <v>0.443</v>
      </c>
      <c r="G10" s="11">
        <v>0.435</v>
      </c>
      <c r="I10" s="11">
        <v>0.44600000000000001</v>
      </c>
      <c r="J10" s="11">
        <v>0.46700000000000003</v>
      </c>
      <c r="K10" s="11">
        <v>0.44600000000000001</v>
      </c>
      <c r="L10" s="11">
        <v>0.437</v>
      </c>
      <c r="M10" s="11">
        <v>0.432</v>
      </c>
      <c r="O10" s="11">
        <v>0.441</v>
      </c>
      <c r="P10" s="11">
        <v>0.42</v>
      </c>
      <c r="Q10" s="11">
        <v>0.44500000000000001</v>
      </c>
      <c r="R10" s="11">
        <v>0.45200000000000001</v>
      </c>
    </row>
    <row r="11" spans="1:18" x14ac:dyDescent="0.2">
      <c r="A11" s="4">
        <v>2</v>
      </c>
      <c r="B11" s="5">
        <v>10</v>
      </c>
      <c r="C11" s="10">
        <v>0.45100000000000001</v>
      </c>
      <c r="D11" s="10">
        <v>0.54100000000000004</v>
      </c>
      <c r="E11" s="11">
        <v>0.52700000000000002</v>
      </c>
      <c r="F11" s="11">
        <v>0.42799999999999999</v>
      </c>
      <c r="G11" s="11">
        <v>0.44600000000000001</v>
      </c>
      <c r="I11" s="11">
        <v>0.443</v>
      </c>
      <c r="J11" s="11">
        <v>0.44600000000000001</v>
      </c>
      <c r="K11" s="11">
        <v>0.441</v>
      </c>
      <c r="L11" s="11">
        <v>0.45600000000000002</v>
      </c>
      <c r="M11" s="11">
        <v>0.437</v>
      </c>
      <c r="O11" s="11">
        <v>0.41</v>
      </c>
      <c r="P11" s="11">
        <v>0.43</v>
      </c>
      <c r="Q11" s="11">
        <v>0.44500000000000001</v>
      </c>
      <c r="R11" s="11">
        <v>0.45500000000000002</v>
      </c>
    </row>
    <row r="12" spans="1:18" x14ac:dyDescent="0.2">
      <c r="A12" s="4">
        <v>3</v>
      </c>
      <c r="B12" s="5">
        <v>10</v>
      </c>
      <c r="C12" s="10">
        <v>0.45800000000000002</v>
      </c>
      <c r="D12" s="10">
        <v>0.61599999999999999</v>
      </c>
      <c r="E12" s="11">
        <v>0.58399999999999996</v>
      </c>
      <c r="F12" s="11">
        <v>0.45400000000000001</v>
      </c>
      <c r="G12" s="11">
        <v>0.43</v>
      </c>
      <c r="I12" s="11">
        <v>0.44600000000000001</v>
      </c>
      <c r="J12" s="11">
        <v>0.45900000000000002</v>
      </c>
      <c r="K12" s="11">
        <v>0.437</v>
      </c>
      <c r="L12" s="11">
        <v>0.44400000000000001</v>
      </c>
      <c r="M12" s="11">
        <v>0.432</v>
      </c>
      <c r="O12" s="11">
        <v>0.42899999999999999</v>
      </c>
      <c r="P12" s="11">
        <v>0.42599999999999999</v>
      </c>
      <c r="Q12" s="11">
        <v>0.437</v>
      </c>
      <c r="R12" s="11">
        <v>0.46</v>
      </c>
    </row>
    <row r="13" spans="1:18" x14ac:dyDescent="0.2">
      <c r="A13" s="4">
        <v>4</v>
      </c>
      <c r="B13" s="5">
        <v>10</v>
      </c>
      <c r="C13" s="10">
        <v>0.437</v>
      </c>
      <c r="D13" s="10">
        <v>0.46300000000000002</v>
      </c>
      <c r="E13" s="11">
        <v>0.64500000000000002</v>
      </c>
      <c r="F13" s="11">
        <v>0.443</v>
      </c>
      <c r="G13" s="11">
        <v>0.44900000000000001</v>
      </c>
      <c r="I13" s="11">
        <v>0.45100000000000001</v>
      </c>
      <c r="J13" s="11">
        <v>0.46100000000000002</v>
      </c>
      <c r="K13" s="11">
        <v>0.42499999999999999</v>
      </c>
      <c r="L13" s="11">
        <v>0.439</v>
      </c>
      <c r="M13" s="11">
        <v>0.45300000000000001</v>
      </c>
      <c r="O13" s="11">
        <v>0.44500000000000001</v>
      </c>
      <c r="P13" s="11">
        <v>0.41499999999999998</v>
      </c>
      <c r="Q13" s="11">
        <v>0.432</v>
      </c>
      <c r="R13" s="11">
        <v>0.45900000000000002</v>
      </c>
    </row>
    <row r="14" spans="1:18" x14ac:dyDescent="0.2">
      <c r="A14" s="4">
        <v>5</v>
      </c>
      <c r="B14" s="5">
        <v>10</v>
      </c>
      <c r="C14" s="10">
        <v>0.46100000000000002</v>
      </c>
      <c r="D14" s="10">
        <v>0.504</v>
      </c>
      <c r="E14" s="11">
        <v>0.55200000000000005</v>
      </c>
      <c r="F14" s="11">
        <v>0.45300000000000001</v>
      </c>
      <c r="G14" s="11">
        <v>0.42799999999999999</v>
      </c>
      <c r="I14" s="11">
        <v>0.443</v>
      </c>
      <c r="J14" s="11">
        <v>0.438</v>
      </c>
      <c r="K14" s="11">
        <v>0.433</v>
      </c>
      <c r="L14" s="11">
        <v>0.42599999999999999</v>
      </c>
      <c r="M14" s="11">
        <v>0.45100000000000001</v>
      </c>
      <c r="O14" s="11">
        <v>0.42799999999999999</v>
      </c>
      <c r="P14" s="11">
        <v>0.434</v>
      </c>
      <c r="Q14" s="11">
        <v>0.45300000000000001</v>
      </c>
      <c r="R14" s="11">
        <v>0.45900000000000002</v>
      </c>
    </row>
    <row r="15" spans="1:18" x14ac:dyDescent="0.2">
      <c r="A15" s="4"/>
      <c r="B15" s="5"/>
      <c r="E15" s="11"/>
      <c r="R15" s="11"/>
    </row>
    <row r="16" spans="1:18" x14ac:dyDescent="0.2">
      <c r="A16" s="4">
        <v>1</v>
      </c>
      <c r="B16" s="5">
        <v>20</v>
      </c>
      <c r="C16" s="10">
        <v>0.46500000000000002</v>
      </c>
      <c r="D16" s="10">
        <v>0.51900000000000002</v>
      </c>
      <c r="E16" s="11">
        <v>0.629</v>
      </c>
      <c r="F16" s="11">
        <v>0.44400000000000001</v>
      </c>
      <c r="G16" s="11">
        <v>0.438</v>
      </c>
      <c r="I16" s="11">
        <v>0.45300000000000001</v>
      </c>
      <c r="J16" s="11">
        <v>0.47099999999999997</v>
      </c>
      <c r="K16" s="11">
        <v>0.45800000000000002</v>
      </c>
      <c r="L16" s="11">
        <v>0.44700000000000001</v>
      </c>
      <c r="M16" s="11">
        <v>0.44</v>
      </c>
      <c r="O16" s="11">
        <v>0.46300000000000002</v>
      </c>
      <c r="P16" s="11">
        <v>0.42499999999999999</v>
      </c>
      <c r="Q16" s="11">
        <v>0.46800000000000003</v>
      </c>
      <c r="R16" s="11">
        <v>0.48799999999999999</v>
      </c>
    </row>
    <row r="17" spans="1:18" x14ac:dyDescent="0.2">
      <c r="A17" s="4">
        <v>2</v>
      </c>
      <c r="B17" s="5">
        <v>20</v>
      </c>
      <c r="C17" s="10">
        <v>0.46300000000000002</v>
      </c>
      <c r="D17" s="10">
        <v>0.6</v>
      </c>
      <c r="E17" s="11">
        <v>0.55300000000000005</v>
      </c>
      <c r="F17" s="11">
        <v>0.437</v>
      </c>
      <c r="G17" s="11">
        <v>0.45400000000000001</v>
      </c>
      <c r="I17" s="11">
        <v>0.44800000000000001</v>
      </c>
      <c r="J17" s="11">
        <v>0.45400000000000001</v>
      </c>
      <c r="K17" s="11">
        <v>0.44400000000000001</v>
      </c>
      <c r="L17" s="11">
        <v>0.46300000000000002</v>
      </c>
      <c r="M17" s="11">
        <v>0.443</v>
      </c>
      <c r="O17" s="11">
        <v>0.441</v>
      </c>
      <c r="P17" s="11">
        <v>0.46</v>
      </c>
      <c r="Q17" s="11">
        <v>0.46</v>
      </c>
      <c r="R17" s="11">
        <v>0.48199999999999998</v>
      </c>
    </row>
    <row r="18" spans="1:18" x14ac:dyDescent="0.2">
      <c r="A18" s="4">
        <v>3</v>
      </c>
      <c r="B18" s="5">
        <v>20</v>
      </c>
      <c r="C18" s="10">
        <v>0.46300000000000002</v>
      </c>
      <c r="D18" s="10">
        <v>0.63700000000000001</v>
      </c>
      <c r="E18" s="11">
        <v>0.61199999999999999</v>
      </c>
      <c r="F18" s="11">
        <v>0.46400000000000002</v>
      </c>
      <c r="G18" s="11">
        <v>0.434</v>
      </c>
      <c r="I18" s="11">
        <v>0.44900000000000001</v>
      </c>
      <c r="J18" s="11">
        <v>0.47299999999999998</v>
      </c>
      <c r="K18" s="11">
        <v>0.441</v>
      </c>
      <c r="L18" s="11">
        <v>0.45300000000000001</v>
      </c>
      <c r="M18" s="11">
        <v>0.441</v>
      </c>
      <c r="O18" s="11">
        <v>0.45300000000000001</v>
      </c>
      <c r="P18" s="11">
        <v>0.44500000000000001</v>
      </c>
      <c r="Q18" s="11">
        <v>0.45400000000000001</v>
      </c>
      <c r="R18" s="11">
        <v>0.496</v>
      </c>
    </row>
    <row r="19" spans="1:18" x14ac:dyDescent="0.2">
      <c r="A19" s="4">
        <v>4</v>
      </c>
      <c r="B19" s="5">
        <v>20</v>
      </c>
      <c r="C19" s="10">
        <v>0.44700000000000001</v>
      </c>
      <c r="D19" s="10">
        <v>0.48</v>
      </c>
      <c r="E19" s="11">
        <v>0.65500000000000003</v>
      </c>
      <c r="F19" s="11">
        <v>0.45300000000000001</v>
      </c>
      <c r="G19" s="11">
        <v>0.45200000000000001</v>
      </c>
      <c r="I19" s="11">
        <v>0.46300000000000002</v>
      </c>
      <c r="J19" s="11">
        <v>0.46899999999999997</v>
      </c>
      <c r="K19" s="11">
        <v>0.43</v>
      </c>
      <c r="L19" s="11">
        <v>0.45</v>
      </c>
      <c r="M19" s="11">
        <v>0.45800000000000002</v>
      </c>
      <c r="O19" s="11">
        <v>0.46500000000000002</v>
      </c>
      <c r="P19" s="11">
        <v>0.42499999999999999</v>
      </c>
      <c r="Q19" s="11">
        <v>0.44</v>
      </c>
      <c r="R19" s="11">
        <v>0.498</v>
      </c>
    </row>
    <row r="20" spans="1:18" x14ac:dyDescent="0.2">
      <c r="A20" s="4">
        <v>5</v>
      </c>
      <c r="B20" s="5">
        <v>20</v>
      </c>
      <c r="C20" s="10">
        <v>0.48099999999999998</v>
      </c>
      <c r="D20" s="10">
        <v>0.53300000000000003</v>
      </c>
      <c r="E20" s="11">
        <v>0.59099999999999997</v>
      </c>
      <c r="F20" s="11">
        <v>0.45800000000000002</v>
      </c>
      <c r="G20" s="11">
        <v>0.439</v>
      </c>
      <c r="I20" s="11">
        <v>0.45400000000000001</v>
      </c>
      <c r="J20" s="11">
        <v>0.44</v>
      </c>
      <c r="K20" s="11">
        <v>0.44500000000000001</v>
      </c>
      <c r="L20" s="11">
        <v>0.42799999999999999</v>
      </c>
      <c r="M20" s="11">
        <v>0.45800000000000002</v>
      </c>
      <c r="O20" s="11">
        <v>0.46400000000000002</v>
      </c>
      <c r="P20" s="11">
        <v>0.45600000000000002</v>
      </c>
      <c r="Q20" s="11">
        <v>0.46899999999999997</v>
      </c>
      <c r="R20" s="11">
        <v>0.498</v>
      </c>
    </row>
    <row r="21" spans="1:18" x14ac:dyDescent="0.2">
      <c r="A21" s="4"/>
      <c r="B21" s="5"/>
      <c r="E21" s="11"/>
      <c r="R21" s="11"/>
    </row>
    <row r="22" spans="1:18" x14ac:dyDescent="0.2">
      <c r="A22" s="4">
        <v>1</v>
      </c>
      <c r="B22" s="5">
        <v>30</v>
      </c>
      <c r="C22" s="10">
        <v>0.47399999999999998</v>
      </c>
      <c r="D22" s="10">
        <v>0.51800000000000002</v>
      </c>
      <c r="E22" s="11">
        <v>0.63300000000000001</v>
      </c>
      <c r="F22" s="11">
        <v>0.45300000000000001</v>
      </c>
      <c r="G22" s="11">
        <v>0.443</v>
      </c>
      <c r="I22" s="11">
        <v>0.46100000000000002</v>
      </c>
      <c r="J22" s="11">
        <v>0.47899999999999998</v>
      </c>
      <c r="K22" s="11">
        <v>0.45800000000000002</v>
      </c>
      <c r="L22" s="11">
        <v>0.45400000000000001</v>
      </c>
      <c r="M22" s="11">
        <v>0.44900000000000001</v>
      </c>
      <c r="O22" s="11">
        <v>0.46899999999999997</v>
      </c>
      <c r="P22" s="11">
        <v>0.434</v>
      </c>
      <c r="Q22" s="11">
        <v>0.47699999999999998</v>
      </c>
      <c r="R22" s="11">
        <v>0.5</v>
      </c>
    </row>
    <row r="23" spans="1:18" x14ac:dyDescent="0.2">
      <c r="A23" s="4">
        <v>2</v>
      </c>
      <c r="B23" s="5">
        <v>30</v>
      </c>
      <c r="C23" s="10">
        <v>0.47199999999999998</v>
      </c>
      <c r="D23" s="10">
        <v>0.61199999999999999</v>
      </c>
      <c r="E23" s="11">
        <v>0.58199999999999996</v>
      </c>
      <c r="F23" s="11">
        <v>0.44</v>
      </c>
      <c r="G23" s="11">
        <v>0.45800000000000002</v>
      </c>
      <c r="I23" s="11">
        <v>0.45600000000000002</v>
      </c>
      <c r="J23" s="11">
        <v>0.45600000000000002</v>
      </c>
      <c r="K23" s="11">
        <v>0.44700000000000001</v>
      </c>
      <c r="L23" s="11">
        <v>0.46300000000000002</v>
      </c>
      <c r="M23" s="11">
        <v>0.44800000000000001</v>
      </c>
      <c r="O23" s="11">
        <v>0.436</v>
      </c>
      <c r="P23" s="11">
        <v>0.46100000000000002</v>
      </c>
      <c r="Q23" s="11">
        <v>0.46300000000000002</v>
      </c>
      <c r="R23" s="11">
        <v>0.499</v>
      </c>
    </row>
    <row r="24" spans="1:18" x14ac:dyDescent="0.2">
      <c r="A24" s="4">
        <v>3</v>
      </c>
      <c r="B24" s="5">
        <v>30</v>
      </c>
      <c r="C24" s="10">
        <v>0.47799999999999998</v>
      </c>
      <c r="D24" s="10">
        <v>0.63800000000000001</v>
      </c>
      <c r="E24" s="11">
        <v>0.63</v>
      </c>
      <c r="F24" s="11">
        <v>0.46500000000000002</v>
      </c>
      <c r="G24" s="11">
        <v>0.44600000000000001</v>
      </c>
      <c r="I24" s="11">
        <v>0.45700000000000002</v>
      </c>
      <c r="J24" s="11">
        <v>0.47699999999999998</v>
      </c>
      <c r="K24" s="11">
        <v>0.45100000000000001</v>
      </c>
      <c r="L24" s="11">
        <v>0.44800000000000001</v>
      </c>
      <c r="M24" s="11">
        <v>0.44600000000000001</v>
      </c>
      <c r="O24" s="11">
        <v>0.45600000000000002</v>
      </c>
      <c r="P24" s="11">
        <v>0.45500000000000002</v>
      </c>
      <c r="Q24" s="11">
        <v>0.45</v>
      </c>
      <c r="R24" s="11">
        <v>0.51100000000000001</v>
      </c>
    </row>
    <row r="25" spans="1:18" x14ac:dyDescent="0.2">
      <c r="A25" s="4">
        <v>4</v>
      </c>
      <c r="B25" s="5">
        <v>30</v>
      </c>
      <c r="C25" s="10">
        <v>0.46300000000000002</v>
      </c>
      <c r="D25" s="10">
        <v>0.48199999999999998</v>
      </c>
      <c r="E25" s="11">
        <v>0.65300000000000002</v>
      </c>
      <c r="F25" s="11">
        <v>0.45500000000000002</v>
      </c>
      <c r="G25" s="11">
        <v>0.46</v>
      </c>
      <c r="I25" s="11">
        <v>0.46800000000000003</v>
      </c>
      <c r="J25" s="11">
        <v>0.47199999999999998</v>
      </c>
      <c r="K25" s="11">
        <v>0.439</v>
      </c>
      <c r="L25" s="11">
        <v>0.45100000000000001</v>
      </c>
      <c r="M25" s="11">
        <v>0.46200000000000002</v>
      </c>
      <c r="O25" s="11">
        <v>0.45600000000000002</v>
      </c>
      <c r="P25" s="11">
        <v>0.434</v>
      </c>
      <c r="Q25" s="11">
        <v>0.443</v>
      </c>
      <c r="R25" s="11">
        <v>0.50900000000000001</v>
      </c>
    </row>
    <row r="26" spans="1:18" x14ac:dyDescent="0.2">
      <c r="A26" s="4">
        <v>5</v>
      </c>
      <c r="B26" s="5">
        <v>30</v>
      </c>
      <c r="C26" s="10">
        <v>0.497</v>
      </c>
      <c r="D26" s="10">
        <v>0.56000000000000005</v>
      </c>
      <c r="E26" s="11">
        <v>0.60499999999999998</v>
      </c>
      <c r="F26" s="11">
        <v>0.46200000000000002</v>
      </c>
      <c r="G26" s="11">
        <v>0.441</v>
      </c>
      <c r="I26" s="11">
        <v>0.45800000000000002</v>
      </c>
      <c r="J26" s="11">
        <v>0.44500000000000001</v>
      </c>
      <c r="K26" s="11">
        <v>0.442</v>
      </c>
      <c r="L26" s="11">
        <v>0.435</v>
      </c>
      <c r="M26" s="11">
        <v>0.45900000000000002</v>
      </c>
      <c r="O26" s="11">
        <v>0.46800000000000003</v>
      </c>
      <c r="P26" s="11">
        <v>0.46600000000000003</v>
      </c>
      <c r="Q26" s="11">
        <v>0.46500000000000002</v>
      </c>
      <c r="R26" s="11">
        <v>0.50700000000000001</v>
      </c>
    </row>
    <row r="27" spans="1:18" x14ac:dyDescent="0.2">
      <c r="A27" s="4"/>
      <c r="B27" s="5"/>
      <c r="E27" s="11"/>
      <c r="R27" s="11"/>
    </row>
    <row r="28" spans="1:18" x14ac:dyDescent="0.2">
      <c r="A28" s="4">
        <v>1</v>
      </c>
      <c r="B28" s="5">
        <v>40</v>
      </c>
      <c r="C28" s="10">
        <v>0.47699999999999998</v>
      </c>
      <c r="D28" s="10">
        <v>0.53400000000000003</v>
      </c>
      <c r="E28" s="11">
        <v>0.64</v>
      </c>
      <c r="F28" s="11">
        <v>0.45300000000000001</v>
      </c>
      <c r="G28" s="11">
        <v>0.44900000000000001</v>
      </c>
      <c r="I28" s="11">
        <v>0.46800000000000003</v>
      </c>
      <c r="J28" s="11">
        <v>0.48399999999999999</v>
      </c>
      <c r="K28" s="11">
        <v>0.46500000000000002</v>
      </c>
      <c r="L28" s="11">
        <v>0.45700000000000002</v>
      </c>
      <c r="M28" s="11">
        <v>0.45</v>
      </c>
      <c r="O28" s="11">
        <v>0.47699999999999998</v>
      </c>
      <c r="P28" s="11">
        <v>0.44600000000000001</v>
      </c>
      <c r="Q28" s="11">
        <v>0.47099999999999997</v>
      </c>
      <c r="R28" s="11">
        <v>0.50600000000000001</v>
      </c>
    </row>
    <row r="29" spans="1:18" x14ac:dyDescent="0.2">
      <c r="A29" s="4">
        <v>2</v>
      </c>
      <c r="B29" s="5">
        <v>40</v>
      </c>
      <c r="C29" s="10">
        <v>0.47399999999999998</v>
      </c>
      <c r="D29" s="10">
        <v>0.627</v>
      </c>
      <c r="E29" s="11">
        <v>0.59699999999999998</v>
      </c>
      <c r="F29" s="11">
        <v>0.438</v>
      </c>
      <c r="G29" s="11">
        <v>0.46500000000000002</v>
      </c>
      <c r="I29" s="11">
        <v>0.46</v>
      </c>
      <c r="J29" s="11">
        <v>0.45700000000000002</v>
      </c>
      <c r="K29" s="11">
        <v>0.45700000000000002</v>
      </c>
      <c r="L29" s="11">
        <v>0.46899999999999997</v>
      </c>
      <c r="M29" s="11">
        <v>0.45</v>
      </c>
      <c r="O29" s="11">
        <v>0.437</v>
      </c>
      <c r="P29" s="11">
        <v>0.47199999999999998</v>
      </c>
      <c r="Q29" s="11">
        <v>0.45700000000000002</v>
      </c>
      <c r="R29" s="11">
        <v>0.503</v>
      </c>
    </row>
    <row r="30" spans="1:18" x14ac:dyDescent="0.2">
      <c r="A30" s="4">
        <v>3</v>
      </c>
      <c r="B30" s="5">
        <v>40</v>
      </c>
      <c r="C30" s="10">
        <v>0.48699999999999999</v>
      </c>
      <c r="D30" s="10">
        <v>0.65</v>
      </c>
      <c r="E30" s="11">
        <v>0.63800000000000001</v>
      </c>
      <c r="F30" s="11">
        <v>0.46800000000000003</v>
      </c>
      <c r="G30" s="11">
        <v>0.44800000000000001</v>
      </c>
      <c r="I30" s="11">
        <v>0.47099999999999997</v>
      </c>
      <c r="J30" s="11">
        <v>0.48099999999999998</v>
      </c>
      <c r="K30" s="11">
        <v>0.45500000000000002</v>
      </c>
      <c r="L30" s="11">
        <v>0.45200000000000001</v>
      </c>
      <c r="M30" s="11">
        <v>0.44600000000000001</v>
      </c>
      <c r="O30" s="11">
        <v>0.45400000000000001</v>
      </c>
      <c r="P30" s="11">
        <v>0.46</v>
      </c>
      <c r="Q30" s="11">
        <v>0.45500000000000002</v>
      </c>
      <c r="R30" s="11">
        <v>0.51100000000000001</v>
      </c>
    </row>
    <row r="31" spans="1:18" x14ac:dyDescent="0.2">
      <c r="A31" s="4">
        <v>4</v>
      </c>
      <c r="B31" s="5">
        <v>40</v>
      </c>
      <c r="C31" s="10">
        <v>0.46500000000000002</v>
      </c>
      <c r="D31" s="10">
        <v>0.50800000000000001</v>
      </c>
      <c r="E31" s="11">
        <v>0.65200000000000002</v>
      </c>
      <c r="F31" s="11">
        <v>0.45200000000000001</v>
      </c>
      <c r="G31" s="11">
        <v>0.46300000000000002</v>
      </c>
      <c r="I31" s="11">
        <v>0.47399999999999998</v>
      </c>
      <c r="J31" s="11">
        <v>0.47699999999999998</v>
      </c>
      <c r="K31" s="11">
        <v>0.443</v>
      </c>
      <c r="L31" s="11">
        <v>0.45500000000000002</v>
      </c>
      <c r="M31" s="11">
        <v>0.46700000000000003</v>
      </c>
      <c r="O31" s="11">
        <v>0.46200000000000002</v>
      </c>
      <c r="P31" s="11">
        <v>0.441</v>
      </c>
      <c r="Q31" s="11">
        <v>0.45100000000000001</v>
      </c>
      <c r="R31" s="11">
        <v>0.51200000000000001</v>
      </c>
    </row>
    <row r="32" spans="1:18" x14ac:dyDescent="0.2">
      <c r="A32" s="4">
        <v>5</v>
      </c>
      <c r="B32" s="5">
        <v>40</v>
      </c>
      <c r="C32" s="10">
        <v>0.502</v>
      </c>
      <c r="D32" s="10">
        <v>0.57299999999999995</v>
      </c>
      <c r="E32" s="11">
        <v>0.61599999999999999</v>
      </c>
      <c r="F32" s="11">
        <v>0.45700000000000002</v>
      </c>
      <c r="G32" s="11">
        <v>0.438</v>
      </c>
      <c r="I32" s="11">
        <v>0.46400000000000002</v>
      </c>
      <c r="J32" s="11">
        <v>0.44700000000000001</v>
      </c>
      <c r="K32" s="11">
        <v>0.45</v>
      </c>
      <c r="L32" s="11">
        <v>0.438</v>
      </c>
      <c r="M32" s="11">
        <v>0.46</v>
      </c>
      <c r="O32" s="11">
        <v>0.47599999999999998</v>
      </c>
      <c r="P32" s="11">
        <v>0.46100000000000002</v>
      </c>
      <c r="Q32" s="11">
        <v>0.47299999999999998</v>
      </c>
      <c r="R32" s="11">
        <v>0.51200000000000001</v>
      </c>
    </row>
    <row r="33" spans="1:18" x14ac:dyDescent="0.2">
      <c r="A33" s="4"/>
      <c r="B33" s="5"/>
      <c r="E33" s="11"/>
      <c r="R33" s="11"/>
    </row>
    <row r="34" spans="1:18" x14ac:dyDescent="0.2">
      <c r="A34" s="4">
        <v>1</v>
      </c>
      <c r="B34" s="5">
        <v>50</v>
      </c>
      <c r="C34" s="10">
        <v>0.48799999999999999</v>
      </c>
      <c r="D34" s="10">
        <v>0.55200000000000005</v>
      </c>
      <c r="E34" s="11">
        <v>0.63500000000000001</v>
      </c>
      <c r="F34" s="11">
        <v>0.45500000000000002</v>
      </c>
      <c r="G34" s="11">
        <v>0.44900000000000001</v>
      </c>
      <c r="I34" s="11">
        <v>0.47499999999999998</v>
      </c>
      <c r="J34" s="11">
        <v>0.49299999999999999</v>
      </c>
      <c r="K34" s="11">
        <v>0.46700000000000003</v>
      </c>
      <c r="L34" s="11">
        <v>0.45900000000000002</v>
      </c>
      <c r="M34" s="11">
        <v>0.45400000000000001</v>
      </c>
      <c r="O34" s="11">
        <v>0.47199999999999998</v>
      </c>
      <c r="P34" s="11">
        <v>0.44500000000000001</v>
      </c>
      <c r="Q34" s="11">
        <v>0.47699999999999998</v>
      </c>
      <c r="R34" s="11">
        <v>0.50700000000000001</v>
      </c>
    </row>
    <row r="35" spans="1:18" x14ac:dyDescent="0.2">
      <c r="A35" s="4">
        <v>2</v>
      </c>
      <c r="B35" s="5">
        <v>50</v>
      </c>
      <c r="C35" s="10">
        <v>0.48499999999999999</v>
      </c>
      <c r="D35" s="10">
        <v>0.63100000000000001</v>
      </c>
      <c r="E35" s="11">
        <v>0.58799999999999997</v>
      </c>
      <c r="F35" s="11">
        <v>0.439</v>
      </c>
      <c r="G35" s="11">
        <v>0.46200000000000002</v>
      </c>
      <c r="I35" s="11">
        <v>0.46700000000000003</v>
      </c>
      <c r="J35" s="11">
        <v>0.46899999999999997</v>
      </c>
      <c r="K35" s="11">
        <v>0.46100000000000002</v>
      </c>
      <c r="L35" s="11">
        <v>0.47299999999999998</v>
      </c>
      <c r="M35" s="11">
        <v>0.45500000000000002</v>
      </c>
      <c r="O35" s="11">
        <v>0.439</v>
      </c>
      <c r="P35" s="11">
        <v>0.47</v>
      </c>
      <c r="Q35" s="11">
        <v>0.45700000000000002</v>
      </c>
      <c r="R35" s="11">
        <v>0.50700000000000001</v>
      </c>
    </row>
    <row r="36" spans="1:18" x14ac:dyDescent="0.2">
      <c r="A36" s="4">
        <v>3</v>
      </c>
      <c r="B36" s="5">
        <v>50</v>
      </c>
      <c r="C36" s="10">
        <v>0.501</v>
      </c>
      <c r="D36" s="10">
        <v>0.64600000000000002</v>
      </c>
      <c r="E36" s="11">
        <v>0.63400000000000001</v>
      </c>
      <c r="F36" s="11">
        <v>0.47199999999999998</v>
      </c>
      <c r="G36" s="11">
        <v>0.443</v>
      </c>
      <c r="I36" s="11">
        <v>0.46400000000000002</v>
      </c>
      <c r="J36" s="11">
        <v>0.48699999999999999</v>
      </c>
      <c r="K36" s="11">
        <v>0.45300000000000001</v>
      </c>
      <c r="L36" s="11">
        <v>0.45700000000000002</v>
      </c>
      <c r="M36" s="11">
        <v>0.44400000000000001</v>
      </c>
      <c r="O36" s="11">
        <v>0.45900000000000002</v>
      </c>
      <c r="P36" s="11">
        <v>0.45500000000000002</v>
      </c>
      <c r="Q36" s="11">
        <v>0.45200000000000001</v>
      </c>
      <c r="R36" s="11">
        <v>0.51500000000000001</v>
      </c>
    </row>
    <row r="37" spans="1:18" x14ac:dyDescent="0.2">
      <c r="A37" s="4">
        <v>4</v>
      </c>
      <c r="B37" s="5">
        <v>50</v>
      </c>
      <c r="C37" s="10">
        <v>0.47</v>
      </c>
      <c r="D37" s="10">
        <v>0.52</v>
      </c>
      <c r="E37" s="11">
        <v>0.67100000000000004</v>
      </c>
      <c r="F37" s="11">
        <v>0.46300000000000002</v>
      </c>
      <c r="G37" s="11">
        <v>0.46200000000000002</v>
      </c>
      <c r="I37" s="11">
        <v>0.47199999999999998</v>
      </c>
      <c r="J37" s="11">
        <v>0.47899999999999998</v>
      </c>
      <c r="K37" s="11">
        <v>0.44600000000000001</v>
      </c>
      <c r="L37" s="11">
        <v>0.45900000000000002</v>
      </c>
      <c r="M37" s="11">
        <v>0.46700000000000003</v>
      </c>
      <c r="O37" s="11">
        <v>0.46800000000000003</v>
      </c>
      <c r="P37" s="11">
        <v>0.442</v>
      </c>
      <c r="Q37" s="11">
        <v>0.45600000000000002</v>
      </c>
      <c r="R37" s="11">
        <v>0.51600000000000001</v>
      </c>
    </row>
    <row r="38" spans="1:18" x14ac:dyDescent="0.2">
      <c r="A38" s="4">
        <v>5</v>
      </c>
      <c r="B38" s="5">
        <v>50</v>
      </c>
      <c r="C38" s="10">
        <v>0.50600000000000001</v>
      </c>
      <c r="D38" s="10">
        <v>0.58699999999999997</v>
      </c>
      <c r="E38" s="11">
        <v>0.63800000000000001</v>
      </c>
      <c r="F38" s="11">
        <v>0.46600000000000003</v>
      </c>
      <c r="G38" s="11">
        <v>0.438</v>
      </c>
      <c r="I38" s="11">
        <v>0.46300000000000002</v>
      </c>
      <c r="J38" s="11">
        <v>0.45200000000000001</v>
      </c>
      <c r="K38" s="11">
        <v>0.45300000000000001</v>
      </c>
      <c r="L38" s="11">
        <v>0.443</v>
      </c>
      <c r="M38" s="11">
        <v>0.46300000000000002</v>
      </c>
      <c r="O38" s="11">
        <v>0.48399999999999999</v>
      </c>
      <c r="P38" s="11">
        <v>0.46700000000000003</v>
      </c>
      <c r="Q38" s="11">
        <v>0.46700000000000003</v>
      </c>
      <c r="R38" s="11">
        <v>0.51400000000000001</v>
      </c>
    </row>
    <row r="39" spans="1:18" x14ac:dyDescent="0.2">
      <c r="A39" s="4"/>
      <c r="B39" s="5"/>
      <c r="E39" s="11"/>
      <c r="R39" s="11"/>
    </row>
    <row r="40" spans="1:18" x14ac:dyDescent="0.2">
      <c r="A40" s="4">
        <v>1</v>
      </c>
      <c r="B40" s="5">
        <v>60</v>
      </c>
      <c r="C40" s="10">
        <v>0.496</v>
      </c>
      <c r="D40" s="10">
        <v>0.56899999999999995</v>
      </c>
      <c r="E40" s="11">
        <v>0.65600000000000003</v>
      </c>
      <c r="F40" s="11">
        <v>0.46100000000000002</v>
      </c>
      <c r="G40" s="11">
        <v>0.44900000000000001</v>
      </c>
      <c r="I40" s="11">
        <v>0.46800000000000003</v>
      </c>
      <c r="J40" s="11">
        <v>0.49099999999999999</v>
      </c>
      <c r="K40" s="11">
        <v>0.46500000000000002</v>
      </c>
      <c r="L40" s="11">
        <v>0.46100000000000002</v>
      </c>
      <c r="M40" s="11">
        <v>0.45600000000000002</v>
      </c>
      <c r="O40" s="11">
        <v>0.47</v>
      </c>
      <c r="P40" s="11">
        <v>0.44400000000000001</v>
      </c>
      <c r="Q40" s="11">
        <v>0.47599999999999998</v>
      </c>
      <c r="R40" s="11">
        <v>0.51100000000000001</v>
      </c>
    </row>
    <row r="41" spans="1:18" x14ac:dyDescent="0.2">
      <c r="A41" s="4">
        <v>2</v>
      </c>
      <c r="B41" s="5">
        <v>60</v>
      </c>
      <c r="C41" s="10">
        <v>0.49</v>
      </c>
      <c r="D41" s="10">
        <v>0.63200000000000001</v>
      </c>
      <c r="E41" s="11">
        <v>0.62</v>
      </c>
      <c r="F41" s="11">
        <v>0.44500000000000001</v>
      </c>
      <c r="G41" s="11">
        <v>0.46700000000000003</v>
      </c>
      <c r="I41" s="11">
        <v>0.47199999999999998</v>
      </c>
      <c r="J41" s="11">
        <v>0.47499999999999998</v>
      </c>
      <c r="K41" s="11">
        <v>0.46100000000000002</v>
      </c>
      <c r="L41" s="11">
        <v>0.47299999999999998</v>
      </c>
      <c r="M41" s="11">
        <v>0.45500000000000002</v>
      </c>
      <c r="O41" s="11">
        <v>0.439</v>
      </c>
      <c r="P41" s="11">
        <v>0.47199999999999998</v>
      </c>
      <c r="Q41" s="11">
        <v>0.45900000000000002</v>
      </c>
      <c r="R41" s="11">
        <v>0.50900000000000001</v>
      </c>
    </row>
    <row r="42" spans="1:18" x14ac:dyDescent="0.2">
      <c r="A42" s="4">
        <v>3</v>
      </c>
      <c r="B42" s="5">
        <v>60</v>
      </c>
      <c r="C42" s="10">
        <v>0.505</v>
      </c>
      <c r="D42" s="10">
        <v>0.65600000000000003</v>
      </c>
      <c r="E42" s="11">
        <v>0.66</v>
      </c>
      <c r="F42" s="11">
        <v>0.46700000000000003</v>
      </c>
      <c r="G42" s="11">
        <v>0.443</v>
      </c>
      <c r="I42" s="11">
        <v>0.47099999999999997</v>
      </c>
      <c r="J42" s="11">
        <v>0.48899999999999999</v>
      </c>
      <c r="K42" s="11">
        <v>0.45300000000000001</v>
      </c>
      <c r="L42" s="11">
        <v>0.45900000000000002</v>
      </c>
      <c r="M42" s="11">
        <v>0.44600000000000001</v>
      </c>
      <c r="O42" s="11">
        <v>0.46600000000000003</v>
      </c>
      <c r="P42" s="11">
        <v>0.45900000000000002</v>
      </c>
      <c r="Q42" s="11">
        <v>0.45500000000000002</v>
      </c>
      <c r="R42" s="11">
        <v>0.51500000000000001</v>
      </c>
    </row>
    <row r="43" spans="1:18" x14ac:dyDescent="0.2">
      <c r="A43" s="4">
        <v>4</v>
      </c>
      <c r="B43" s="5">
        <v>60</v>
      </c>
      <c r="C43" s="10">
        <v>0.47699999999999998</v>
      </c>
      <c r="D43" s="10">
        <v>0.53100000000000003</v>
      </c>
      <c r="E43" s="11">
        <v>0.65400000000000003</v>
      </c>
      <c r="F43" s="11">
        <v>0.47299999999999998</v>
      </c>
      <c r="G43" s="11">
        <v>0.46200000000000002</v>
      </c>
      <c r="I43" s="11">
        <v>0.48</v>
      </c>
      <c r="J43" s="11">
        <v>0.48099999999999998</v>
      </c>
      <c r="K43" s="11">
        <v>0.44700000000000001</v>
      </c>
      <c r="L43" s="11">
        <v>0.46100000000000002</v>
      </c>
      <c r="M43" s="11">
        <v>0.46600000000000003</v>
      </c>
      <c r="O43" s="11">
        <v>0.47599999999999998</v>
      </c>
      <c r="P43" s="11">
        <v>0.44500000000000001</v>
      </c>
      <c r="Q43" s="11">
        <v>0.45200000000000001</v>
      </c>
      <c r="R43" s="11">
        <v>0.51400000000000001</v>
      </c>
    </row>
    <row r="44" spans="1:18" x14ac:dyDescent="0.2">
      <c r="A44" s="4">
        <v>5</v>
      </c>
      <c r="B44" s="5">
        <v>60</v>
      </c>
      <c r="C44" s="10">
        <v>0.51600000000000001</v>
      </c>
      <c r="D44" s="10">
        <v>0.60499999999999998</v>
      </c>
      <c r="E44" s="11">
        <v>0.63600000000000001</v>
      </c>
      <c r="F44" s="11">
        <v>0.47299999999999998</v>
      </c>
      <c r="G44" s="11">
        <v>0.44600000000000001</v>
      </c>
      <c r="I44" s="11">
        <v>0.46899999999999997</v>
      </c>
      <c r="J44" s="11">
        <v>0.45100000000000001</v>
      </c>
      <c r="K44" s="11">
        <v>0.45</v>
      </c>
      <c r="L44" s="11">
        <v>0.439</v>
      </c>
      <c r="M44" s="11">
        <v>0.46400000000000002</v>
      </c>
      <c r="O44" s="11">
        <v>0.48399999999999999</v>
      </c>
      <c r="P44" s="11">
        <v>0.46899999999999997</v>
      </c>
      <c r="Q44" s="11">
        <v>0.47299999999999998</v>
      </c>
      <c r="R44" s="11">
        <v>0.51400000000000001</v>
      </c>
    </row>
    <row r="45" spans="1:18" x14ac:dyDescent="0.2">
      <c r="A45" s="4"/>
      <c r="B45" s="5"/>
      <c r="E45" s="6"/>
      <c r="R45" s="6"/>
    </row>
    <row r="46" spans="1:18" x14ac:dyDescent="0.2">
      <c r="A46" s="4"/>
      <c r="B46" s="5"/>
      <c r="C46" s="6"/>
      <c r="D46" s="6"/>
      <c r="E46" s="6"/>
      <c r="F46" s="10"/>
      <c r="R46" s="6"/>
    </row>
    <row r="47" spans="1:18" x14ac:dyDescent="0.2">
      <c r="A47" s="4"/>
      <c r="B47" s="5"/>
      <c r="C47" s="6"/>
      <c r="D47" s="6"/>
      <c r="E47" s="6"/>
      <c r="F47" s="10"/>
      <c r="R47" s="6"/>
    </row>
    <row r="48" spans="1:18" x14ac:dyDescent="0.2">
      <c r="A48" s="4"/>
      <c r="B48" s="5"/>
      <c r="C48" s="6"/>
      <c r="D48" s="6"/>
      <c r="E48" s="6"/>
      <c r="F48" s="10"/>
      <c r="R48" s="6"/>
    </row>
    <row r="49" spans="1:18" x14ac:dyDescent="0.2">
      <c r="A49" s="4"/>
      <c r="B49" s="5"/>
      <c r="C49" s="6"/>
      <c r="D49" s="6"/>
      <c r="E49" s="6"/>
      <c r="F49" s="10"/>
      <c r="R49" s="6"/>
    </row>
    <row r="50" spans="1:18" x14ac:dyDescent="0.2">
      <c r="A50" s="4"/>
      <c r="B50" s="5"/>
      <c r="C50" s="6"/>
      <c r="D50" s="6"/>
      <c r="E50" s="6"/>
      <c r="F50" s="6"/>
      <c r="G50" s="10"/>
      <c r="H50" s="10"/>
      <c r="R50" s="6"/>
    </row>
    <row r="51" spans="1:18" x14ac:dyDescent="0.2">
      <c r="A51" s="4"/>
      <c r="B51" s="5"/>
      <c r="C51" s="5"/>
      <c r="D51" s="5"/>
      <c r="E51" s="5"/>
      <c r="F51" s="5"/>
      <c r="G51" s="4"/>
      <c r="H51" s="4"/>
      <c r="R51" s="5"/>
    </row>
    <row r="52" spans="1:18" x14ac:dyDescent="0.2">
      <c r="A52" s="4"/>
      <c r="B52" s="5"/>
      <c r="C52" s="5"/>
      <c r="D52" s="5"/>
      <c r="E52" s="5"/>
      <c r="F52" s="5"/>
      <c r="G52" s="4"/>
      <c r="H52" s="4"/>
      <c r="R52" s="5"/>
    </row>
    <row r="53" spans="1:18" x14ac:dyDescent="0.2">
      <c r="A53" s="29" t="s">
        <v>3</v>
      </c>
      <c r="B53" s="29"/>
      <c r="C53" s="29"/>
      <c r="D53" s="29"/>
      <c r="E53" s="29"/>
      <c r="F53" s="2"/>
      <c r="G53" s="2"/>
      <c r="H53" s="2"/>
      <c r="R53" s="2"/>
    </row>
    <row r="54" spans="1:18" ht="51" x14ac:dyDescent="0.2">
      <c r="A54" s="2" t="s">
        <v>1</v>
      </c>
      <c r="B54" s="3" t="s">
        <v>2</v>
      </c>
      <c r="C54" s="3" t="s">
        <v>8</v>
      </c>
      <c r="D54" s="3" t="s">
        <v>9</v>
      </c>
      <c r="E54" s="3" t="s">
        <v>10</v>
      </c>
      <c r="F54" s="3" t="s">
        <v>31</v>
      </c>
      <c r="G54" s="3" t="s">
        <v>32</v>
      </c>
      <c r="H54" s="3"/>
      <c r="I54" s="3" t="s">
        <v>10</v>
      </c>
      <c r="J54" s="3" t="s">
        <v>35</v>
      </c>
      <c r="K54" s="3" t="s">
        <v>31</v>
      </c>
      <c r="L54" s="3" t="s">
        <v>36</v>
      </c>
      <c r="M54" s="3" t="s">
        <v>32</v>
      </c>
      <c r="O54" s="3" t="s">
        <v>28</v>
      </c>
      <c r="P54" s="3" t="s">
        <v>23</v>
      </c>
      <c r="Q54" s="3" t="s">
        <v>24</v>
      </c>
      <c r="R54" s="3" t="s">
        <v>11</v>
      </c>
    </row>
    <row r="55" spans="1:18" x14ac:dyDescent="0.2">
      <c r="A55" s="4">
        <v>1</v>
      </c>
      <c r="B55" s="5">
        <v>0</v>
      </c>
      <c r="C55" s="7">
        <f t="shared" ref="C55:E59" si="0" xml:space="preserve"> (C4-C4)/32.258</f>
        <v>0</v>
      </c>
      <c r="D55" s="7">
        <f t="shared" si="0"/>
        <v>0</v>
      </c>
      <c r="E55" s="7">
        <f t="shared" si="0"/>
        <v>0</v>
      </c>
      <c r="F55" s="7">
        <f t="shared" ref="F55:G55" si="1" xml:space="preserve"> (F4-F4)/32.258</f>
        <v>0</v>
      </c>
      <c r="G55" s="7">
        <f t="shared" si="1"/>
        <v>0</v>
      </c>
      <c r="H55" s="7"/>
      <c r="I55" s="7">
        <f t="shared" ref="I55" si="2" xml:space="preserve"> (I4-I4)/32.258</f>
        <v>0</v>
      </c>
      <c r="J55" s="7">
        <f t="shared" ref="J55:M55" si="3" xml:space="preserve"> (J4-J4)/32.258</f>
        <v>0</v>
      </c>
      <c r="K55" s="7">
        <f t="shared" si="3"/>
        <v>0</v>
      </c>
      <c r="L55" s="7">
        <f t="shared" si="3"/>
        <v>0</v>
      </c>
      <c r="M55" s="7">
        <f t="shared" si="3"/>
        <v>0</v>
      </c>
      <c r="O55" s="7">
        <f t="shared" ref="O55:R55" si="4" xml:space="preserve"> (O4-O4)/32.258</f>
        <v>0</v>
      </c>
      <c r="P55" s="7">
        <f t="shared" si="4"/>
        <v>0</v>
      </c>
      <c r="Q55" s="7">
        <f t="shared" si="4"/>
        <v>0</v>
      </c>
      <c r="R55" s="7">
        <f t="shared" si="4"/>
        <v>0</v>
      </c>
    </row>
    <row r="56" spans="1:18" x14ac:dyDescent="0.2">
      <c r="A56" s="4">
        <v>2</v>
      </c>
      <c r="B56" s="5">
        <v>0</v>
      </c>
      <c r="C56" s="7">
        <f t="shared" si="0"/>
        <v>0</v>
      </c>
      <c r="D56" s="7">
        <f t="shared" si="0"/>
        <v>0</v>
      </c>
      <c r="E56" s="7">
        <f t="shared" si="0"/>
        <v>0</v>
      </c>
      <c r="F56" s="7">
        <f t="shared" ref="F56:G56" si="5" xml:space="preserve"> (F5-F5)/32.258</f>
        <v>0</v>
      </c>
      <c r="G56" s="7">
        <f t="shared" si="5"/>
        <v>0</v>
      </c>
      <c r="H56" s="7"/>
      <c r="I56" s="7">
        <f t="shared" ref="I56" si="6" xml:space="preserve"> (I5-I5)/32.258</f>
        <v>0</v>
      </c>
      <c r="J56" s="7">
        <f t="shared" ref="J56:M56" si="7" xml:space="preserve"> (J5-J5)/32.258</f>
        <v>0</v>
      </c>
      <c r="K56" s="7">
        <f t="shared" si="7"/>
        <v>0</v>
      </c>
      <c r="L56" s="7">
        <f t="shared" si="7"/>
        <v>0</v>
      </c>
      <c r="M56" s="7">
        <f t="shared" si="7"/>
        <v>0</v>
      </c>
      <c r="O56" s="7">
        <f t="shared" ref="O56:R56" si="8" xml:space="preserve"> (O5-O5)/32.258</f>
        <v>0</v>
      </c>
      <c r="P56" s="7">
        <f t="shared" si="8"/>
        <v>0</v>
      </c>
      <c r="Q56" s="7">
        <f t="shared" si="8"/>
        <v>0</v>
      </c>
      <c r="R56" s="7">
        <f t="shared" si="8"/>
        <v>0</v>
      </c>
    </row>
    <row r="57" spans="1:18" x14ac:dyDescent="0.2">
      <c r="A57" s="4">
        <v>3</v>
      </c>
      <c r="B57" s="5">
        <v>0</v>
      </c>
      <c r="C57" s="7">
        <f t="shared" si="0"/>
        <v>0</v>
      </c>
      <c r="D57" s="7">
        <f t="shared" si="0"/>
        <v>0</v>
      </c>
      <c r="E57" s="7">
        <f t="shared" si="0"/>
        <v>0</v>
      </c>
      <c r="F57" s="7">
        <f t="shared" ref="F57:G57" si="9" xml:space="preserve"> (F6-F6)/32.258</f>
        <v>0</v>
      </c>
      <c r="G57" s="7">
        <f t="shared" si="9"/>
        <v>0</v>
      </c>
      <c r="H57" s="7"/>
      <c r="I57" s="7">
        <f t="shared" ref="I57" si="10" xml:space="preserve"> (I6-I6)/32.258</f>
        <v>0</v>
      </c>
      <c r="J57" s="7">
        <f t="shared" ref="J57:M57" si="11" xml:space="preserve"> (J6-J6)/32.258</f>
        <v>0</v>
      </c>
      <c r="K57" s="7">
        <f t="shared" si="11"/>
        <v>0</v>
      </c>
      <c r="L57" s="7">
        <f t="shared" si="11"/>
        <v>0</v>
      </c>
      <c r="M57" s="7">
        <f t="shared" si="11"/>
        <v>0</v>
      </c>
      <c r="O57" s="7">
        <f t="shared" ref="O57:R57" si="12" xml:space="preserve"> (O6-O6)/32.258</f>
        <v>0</v>
      </c>
      <c r="P57" s="7">
        <f t="shared" si="12"/>
        <v>0</v>
      </c>
      <c r="Q57" s="7">
        <f t="shared" si="12"/>
        <v>0</v>
      </c>
      <c r="R57" s="7">
        <f t="shared" si="12"/>
        <v>0</v>
      </c>
    </row>
    <row r="58" spans="1:18" x14ac:dyDescent="0.2">
      <c r="A58" s="4">
        <v>4</v>
      </c>
      <c r="B58" s="5">
        <v>0</v>
      </c>
      <c r="C58" s="7">
        <f t="shared" si="0"/>
        <v>0</v>
      </c>
      <c r="D58" s="7">
        <f t="shared" si="0"/>
        <v>0</v>
      </c>
      <c r="E58" s="7">
        <f t="shared" si="0"/>
        <v>0</v>
      </c>
      <c r="F58" s="7">
        <f t="shared" ref="F58:G58" si="13" xml:space="preserve"> (F7-F7)/32.258</f>
        <v>0</v>
      </c>
      <c r="G58" s="7">
        <f t="shared" si="13"/>
        <v>0</v>
      </c>
      <c r="H58" s="7"/>
      <c r="I58" s="7">
        <f t="shared" ref="I58" si="14" xml:space="preserve"> (I7-I7)/32.258</f>
        <v>0</v>
      </c>
      <c r="J58" s="7">
        <f t="shared" ref="J58:M58" si="15" xml:space="preserve"> (J7-J7)/32.258</f>
        <v>0</v>
      </c>
      <c r="K58" s="7">
        <f t="shared" si="15"/>
        <v>0</v>
      </c>
      <c r="L58" s="7">
        <f t="shared" si="15"/>
        <v>0</v>
      </c>
      <c r="M58" s="7">
        <f t="shared" si="15"/>
        <v>0</v>
      </c>
      <c r="O58" s="7">
        <f t="shared" ref="O58:R58" si="16" xml:space="preserve"> (O7-O7)/32.258</f>
        <v>0</v>
      </c>
      <c r="P58" s="7">
        <f t="shared" si="16"/>
        <v>0</v>
      </c>
      <c r="Q58" s="7">
        <f t="shared" si="16"/>
        <v>0</v>
      </c>
      <c r="R58" s="7">
        <f t="shared" si="16"/>
        <v>0</v>
      </c>
    </row>
    <row r="59" spans="1:18" x14ac:dyDescent="0.2">
      <c r="A59" s="4">
        <v>5</v>
      </c>
      <c r="B59" s="5">
        <v>0</v>
      </c>
      <c r="C59" s="7">
        <f t="shared" si="0"/>
        <v>0</v>
      </c>
      <c r="D59" s="7">
        <f t="shared" si="0"/>
        <v>0</v>
      </c>
      <c r="E59" s="7">
        <f t="shared" si="0"/>
        <v>0</v>
      </c>
      <c r="F59" s="7">
        <f t="shared" ref="F59:G59" si="17" xml:space="preserve"> (F8-F8)/32.258</f>
        <v>0</v>
      </c>
      <c r="G59" s="7">
        <f t="shared" si="17"/>
        <v>0</v>
      </c>
      <c r="H59" s="7"/>
      <c r="I59" s="7">
        <f t="shared" ref="I59" si="18" xml:space="preserve"> (I8-I8)/32.258</f>
        <v>0</v>
      </c>
      <c r="J59" s="7">
        <f t="shared" ref="J59:M59" si="19" xml:space="preserve"> (J8-J8)/32.258</f>
        <v>0</v>
      </c>
      <c r="K59" s="7">
        <f t="shared" si="19"/>
        <v>0</v>
      </c>
      <c r="L59" s="7">
        <f t="shared" si="19"/>
        <v>0</v>
      </c>
      <c r="M59" s="7">
        <f t="shared" si="19"/>
        <v>0</v>
      </c>
      <c r="O59" s="7">
        <f t="shared" ref="O59:R59" si="20" xml:space="preserve"> (O8-O8)/32.258</f>
        <v>0</v>
      </c>
      <c r="P59" s="7">
        <f t="shared" si="20"/>
        <v>0</v>
      </c>
      <c r="Q59" s="7">
        <f t="shared" si="20"/>
        <v>0</v>
      </c>
      <c r="R59" s="7">
        <f t="shared" si="20"/>
        <v>0</v>
      </c>
    </row>
    <row r="60" spans="1:18" x14ac:dyDescent="0.2">
      <c r="A60" s="4"/>
      <c r="B60" s="5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O60" s="7"/>
      <c r="P60" s="7"/>
      <c r="Q60" s="7"/>
      <c r="R60" s="7"/>
    </row>
    <row r="61" spans="1:18" x14ac:dyDescent="0.2">
      <c r="A61" s="4">
        <v>1</v>
      </c>
      <c r="B61" s="5">
        <v>10</v>
      </c>
      <c r="C61" s="7">
        <f t="shared" ref="C61:E65" si="21" xml:space="preserve"> (C10-C4)/32.258</f>
        <v>3.7510075020150036E-3</v>
      </c>
      <c r="D61" s="7">
        <f t="shared" si="21"/>
        <v>4.2780085560171106E-3</v>
      </c>
      <c r="E61" s="7">
        <f t="shared" si="21"/>
        <v>9.3930187860375713E-3</v>
      </c>
      <c r="F61" s="7">
        <f t="shared" ref="F61:G61" si="22" xml:space="preserve"> (F10-F4)/32.258</f>
        <v>3.7820075640151276E-3</v>
      </c>
      <c r="G61" s="7">
        <f t="shared" si="22"/>
        <v>3.5030070060140116E-3</v>
      </c>
      <c r="H61" s="7"/>
      <c r="I61" s="7">
        <f t="shared" ref="I61" si="23" xml:space="preserve"> (I10-I4)/32.258</f>
        <v>3.5960071920143836E-3</v>
      </c>
      <c r="J61" s="7">
        <f t="shared" ref="J61:M61" si="24" xml:space="preserve"> (J10-J4)/32.258</f>
        <v>4.0920081840163675E-3</v>
      </c>
      <c r="K61" s="7">
        <f t="shared" si="24"/>
        <v>3.2240064480128952E-3</v>
      </c>
      <c r="L61" s="7">
        <f t="shared" si="24"/>
        <v>3.4720069440138876E-3</v>
      </c>
      <c r="M61" s="7">
        <f t="shared" si="24"/>
        <v>3.2240064480128952E-3</v>
      </c>
      <c r="O61" s="7">
        <f t="shared" ref="O61:R61" si="25" xml:space="preserve"> (O10-O4)/32.258</f>
        <v>2.9140058280116565E-3</v>
      </c>
      <c r="P61" s="7">
        <f t="shared" si="25"/>
        <v>2.8830057660115308E-3</v>
      </c>
      <c r="Q61" s="7">
        <f t="shared" si="25"/>
        <v>2.5420050840101681E-3</v>
      </c>
      <c r="R61" s="7">
        <f t="shared" si="25"/>
        <v>1.9530039060078118E-3</v>
      </c>
    </row>
    <row r="62" spans="1:18" x14ac:dyDescent="0.2">
      <c r="A62" s="4">
        <v>2</v>
      </c>
      <c r="B62" s="5">
        <v>10</v>
      </c>
      <c r="C62" s="7">
        <f t="shared" si="21"/>
        <v>3.6890073780147556E-3</v>
      </c>
      <c r="D62" s="7">
        <f t="shared" si="21"/>
        <v>6.2310124620249237E-3</v>
      </c>
      <c r="E62" s="7">
        <f t="shared" si="21"/>
        <v>6.2000124000248001E-3</v>
      </c>
      <c r="F62" s="7">
        <f t="shared" ref="F62:G62" si="26" xml:space="preserve"> (F11-F5)/32.258</f>
        <v>3.4720069440138876E-3</v>
      </c>
      <c r="G62" s="7">
        <f t="shared" si="26"/>
        <v>3.5650071300142596E-3</v>
      </c>
      <c r="H62" s="7"/>
      <c r="I62" s="7">
        <f t="shared" ref="I62" si="27" xml:space="preserve"> (I11-I5)/32.258</f>
        <v>3.6580073160146316E-3</v>
      </c>
      <c r="J62" s="7">
        <f t="shared" ref="J62:M62" si="28" xml:space="preserve"> (J11-J5)/32.258</f>
        <v>3.6890073780147556E-3</v>
      </c>
      <c r="K62" s="7">
        <f t="shared" si="28"/>
        <v>3.4720069440138876E-3</v>
      </c>
      <c r="L62" s="7">
        <f t="shared" si="28"/>
        <v>3.6580073160146316E-3</v>
      </c>
      <c r="M62" s="7">
        <f t="shared" si="28"/>
        <v>3.3790067580135152E-3</v>
      </c>
      <c r="O62" s="7">
        <f t="shared" ref="O62:R62" si="29" xml:space="preserve"> (O11-O5)/32.258</f>
        <v>2.6040052080104148E-3</v>
      </c>
      <c r="P62" s="7">
        <f t="shared" si="29"/>
        <v>2.6350052700105406E-3</v>
      </c>
      <c r="Q62" s="7">
        <f t="shared" si="29"/>
        <v>2.7280054560109126E-3</v>
      </c>
      <c r="R62" s="7">
        <f t="shared" si="29"/>
        <v>2.0770041540083078E-3</v>
      </c>
    </row>
    <row r="63" spans="1:18" x14ac:dyDescent="0.2">
      <c r="A63" s="4">
        <v>3</v>
      </c>
      <c r="B63" s="5">
        <v>10</v>
      </c>
      <c r="C63" s="7">
        <f t="shared" si="21"/>
        <v>3.9680079360158715E-3</v>
      </c>
      <c r="D63" s="7">
        <f t="shared" si="21"/>
        <v>8.680017360034719E-3</v>
      </c>
      <c r="E63" s="7">
        <f t="shared" si="21"/>
        <v>7.5330150660301298E-3</v>
      </c>
      <c r="F63" s="7">
        <f t="shared" ref="F63:G63" si="30" xml:space="preserve"> (F12-F6)/32.258</f>
        <v>3.8440076880153756E-3</v>
      </c>
      <c r="G63" s="7">
        <f t="shared" si="30"/>
        <v>3.2550065100130192E-3</v>
      </c>
      <c r="H63" s="7"/>
      <c r="I63" s="7">
        <f t="shared" ref="I63" si="31" xml:space="preserve"> (I12-I6)/32.258</f>
        <v>3.9060078120156235E-3</v>
      </c>
      <c r="J63" s="7">
        <f t="shared" ref="J63:M63" si="32" xml:space="preserve"> (J12-J6)/32.258</f>
        <v>3.8130076260152516E-3</v>
      </c>
      <c r="K63" s="7">
        <f t="shared" si="32"/>
        <v>3.4410068820137632E-3</v>
      </c>
      <c r="L63" s="7">
        <f t="shared" si="32"/>
        <v>3.2240064480128952E-3</v>
      </c>
      <c r="M63" s="7">
        <f t="shared" si="32"/>
        <v>3.2550065100130192E-3</v>
      </c>
      <c r="O63" s="7">
        <f t="shared" ref="O63:R63" si="33" xml:space="preserve"> (O12-O6)/32.258</f>
        <v>2.9140058280116548E-3</v>
      </c>
      <c r="P63" s="7">
        <f t="shared" si="33"/>
        <v>2.6660053320106628E-3</v>
      </c>
      <c r="Q63" s="7">
        <f t="shared" si="33"/>
        <v>2.6040052080104166E-3</v>
      </c>
      <c r="R63" s="7">
        <f t="shared" si="33"/>
        <v>2.2010044020088042E-3</v>
      </c>
    </row>
    <row r="64" spans="1:18" x14ac:dyDescent="0.2">
      <c r="A64" s="4">
        <v>4</v>
      </c>
      <c r="B64" s="5">
        <v>10</v>
      </c>
      <c r="C64" s="7">
        <f t="shared" si="21"/>
        <v>3.5960071920143836E-3</v>
      </c>
      <c r="D64" s="7">
        <f t="shared" si="21"/>
        <v>3.937007874015748E-3</v>
      </c>
      <c r="E64" s="7">
        <f t="shared" si="21"/>
        <v>9.4860189720379438E-3</v>
      </c>
      <c r="F64" s="7">
        <f t="shared" ref="F64:G64" si="34" xml:space="preserve"> (F13-F7)/32.258</f>
        <v>3.5030070060140116E-3</v>
      </c>
      <c r="G64" s="7">
        <f t="shared" si="34"/>
        <v>3.5030070060140116E-3</v>
      </c>
      <c r="H64" s="7"/>
      <c r="I64" s="7">
        <f t="shared" ref="I64" si="35" xml:space="preserve"> (I13-I7)/32.258</f>
        <v>3.7820075640151276E-3</v>
      </c>
      <c r="J64" s="7">
        <f t="shared" ref="J64:M64" si="36" xml:space="preserve"> (J13-J7)/32.258</f>
        <v>3.7510075020150036E-3</v>
      </c>
      <c r="K64" s="7">
        <f t="shared" si="36"/>
        <v>3.2860065720131432E-3</v>
      </c>
      <c r="L64" s="7">
        <f t="shared" si="36"/>
        <v>3.4720069440138876E-3</v>
      </c>
      <c r="M64" s="7">
        <f t="shared" si="36"/>
        <v>3.5340070680141356E-3</v>
      </c>
      <c r="O64" s="7">
        <f t="shared" ref="O64:R64" si="37" xml:space="preserve"> (O13-O7)/32.258</f>
        <v>3.1310062620125249E-3</v>
      </c>
      <c r="P64" s="7">
        <f t="shared" si="37"/>
        <v>2.8520057040114068E-3</v>
      </c>
      <c r="Q64" s="7">
        <f t="shared" si="37"/>
        <v>2.5420050840101681E-3</v>
      </c>
      <c r="R64" s="7">
        <f t="shared" si="37"/>
        <v>2.1700043400086802E-3</v>
      </c>
    </row>
    <row r="65" spans="1:18" x14ac:dyDescent="0.2">
      <c r="A65" s="4">
        <v>5</v>
      </c>
      <c r="B65" s="5">
        <v>10</v>
      </c>
      <c r="C65" s="7">
        <f t="shared" si="21"/>
        <v>3.8130076260152516E-3</v>
      </c>
      <c r="D65" s="7">
        <f t="shared" si="21"/>
        <v>5.3630107260214509E-3</v>
      </c>
      <c r="E65" s="7">
        <f t="shared" si="21"/>
        <v>6.6650133300266605E-3</v>
      </c>
      <c r="F65" s="7">
        <f t="shared" ref="F65:G65" si="38" xml:space="preserve"> (F14-F8)/32.258</f>
        <v>3.8750077500154996E-3</v>
      </c>
      <c r="G65" s="7">
        <f t="shared" si="38"/>
        <v>3.3170066340132672E-3</v>
      </c>
      <c r="H65" s="7"/>
      <c r="I65" s="7">
        <f t="shared" ref="I65" si="39" xml:space="preserve"> (I14-I8)/32.258</f>
        <v>3.5650071300142596E-3</v>
      </c>
      <c r="J65" s="7">
        <f t="shared" ref="J65:M65" si="40" xml:space="preserve"> (J14-J8)/32.258</f>
        <v>3.6270072540145076E-3</v>
      </c>
      <c r="K65" s="7">
        <f t="shared" si="40"/>
        <v>3.4100068200136392E-3</v>
      </c>
      <c r="L65" s="7">
        <f t="shared" si="40"/>
        <v>3.2860065720131432E-3</v>
      </c>
      <c r="M65" s="7">
        <f t="shared" si="40"/>
        <v>3.5340070680141356E-3</v>
      </c>
      <c r="O65" s="7">
        <f t="shared" ref="O65:R65" si="41" xml:space="preserve"> (O14-O8)/32.258</f>
        <v>2.9760059520119028E-3</v>
      </c>
      <c r="P65" s="7">
        <f t="shared" si="41"/>
        <v>2.8210056420112828E-3</v>
      </c>
      <c r="Q65" s="7">
        <f t="shared" si="41"/>
        <v>2.6660053320106646E-3</v>
      </c>
      <c r="R65" s="7">
        <f t="shared" si="41"/>
        <v>2.0460040920081838E-3</v>
      </c>
    </row>
    <row r="66" spans="1:18" x14ac:dyDescent="0.2">
      <c r="A66" s="4"/>
      <c r="B66" s="5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O66" s="7"/>
      <c r="P66" s="7"/>
      <c r="Q66" s="7"/>
      <c r="R66" s="7"/>
    </row>
    <row r="67" spans="1:18" x14ac:dyDescent="0.2">
      <c r="A67" s="4">
        <v>1</v>
      </c>
      <c r="B67" s="5">
        <v>20</v>
      </c>
      <c r="C67" s="7">
        <f t="shared" ref="C67:E71" si="42" xml:space="preserve"> (C16-C4)/32.258</f>
        <v>4.2470084940169879E-3</v>
      </c>
      <c r="D67" s="7">
        <f t="shared" si="42"/>
        <v>5.5180110360220714E-3</v>
      </c>
      <c r="E67" s="7">
        <f t="shared" si="42"/>
        <v>9.3930187860375713E-3</v>
      </c>
      <c r="F67" s="7">
        <f t="shared" ref="F67:G67" si="43" xml:space="preserve"> (F16-F4)/32.258</f>
        <v>3.8130076260152516E-3</v>
      </c>
      <c r="G67" s="7">
        <f t="shared" si="43"/>
        <v>3.5960071920143836E-3</v>
      </c>
      <c r="H67" s="7"/>
      <c r="I67" s="7">
        <f t="shared" ref="I67" si="44" xml:space="preserve"> (I16-I4)/32.258</f>
        <v>3.8130076260152516E-3</v>
      </c>
      <c r="J67" s="7">
        <f t="shared" ref="J67:M67" si="45" xml:space="preserve"> (J16-J4)/32.258</f>
        <v>4.2160084320168626E-3</v>
      </c>
      <c r="K67" s="7">
        <f t="shared" si="45"/>
        <v>3.5960071920143836E-3</v>
      </c>
      <c r="L67" s="7">
        <f t="shared" si="45"/>
        <v>3.7820075640151276E-3</v>
      </c>
      <c r="M67" s="7">
        <f t="shared" si="45"/>
        <v>3.4720069440138876E-3</v>
      </c>
      <c r="O67" s="7">
        <f t="shared" ref="O67:R67" si="46" xml:space="preserve"> (O16-O4)/32.258</f>
        <v>3.5960071920143853E-3</v>
      </c>
      <c r="P67" s="7">
        <f t="shared" si="46"/>
        <v>3.0380060760121512E-3</v>
      </c>
      <c r="Q67" s="7">
        <f t="shared" si="46"/>
        <v>3.2550065100130209E-3</v>
      </c>
      <c r="R67" s="7">
        <f t="shared" si="46"/>
        <v>3.0690061380122752E-3</v>
      </c>
    </row>
    <row r="68" spans="1:18" x14ac:dyDescent="0.2">
      <c r="A68" s="4">
        <v>2</v>
      </c>
      <c r="B68" s="5">
        <v>20</v>
      </c>
      <c r="C68" s="7">
        <f t="shared" si="42"/>
        <v>4.061008122016244E-3</v>
      </c>
      <c r="D68" s="7">
        <f t="shared" si="42"/>
        <v>8.0600161200322373E-3</v>
      </c>
      <c r="E68" s="7">
        <f t="shared" si="42"/>
        <v>7.0060140120280249E-3</v>
      </c>
      <c r="F68" s="7">
        <f t="shared" ref="F68:G68" si="47" xml:space="preserve"> (F17-F5)/32.258</f>
        <v>3.7510075020150036E-3</v>
      </c>
      <c r="G68" s="7">
        <f t="shared" si="47"/>
        <v>3.8130076260152516E-3</v>
      </c>
      <c r="H68" s="7"/>
      <c r="I68" s="7">
        <f t="shared" ref="I68" si="48" xml:space="preserve"> (I17-I5)/32.258</f>
        <v>3.8130076260152516E-3</v>
      </c>
      <c r="J68" s="7">
        <f t="shared" ref="J68:M68" si="49" xml:space="preserve"> (J17-J5)/32.258</f>
        <v>3.937007874015748E-3</v>
      </c>
      <c r="K68" s="7">
        <f t="shared" si="49"/>
        <v>3.5650071300142596E-3</v>
      </c>
      <c r="L68" s="7">
        <f t="shared" si="49"/>
        <v>3.8750077500154996E-3</v>
      </c>
      <c r="M68" s="7">
        <f t="shared" si="49"/>
        <v>3.5650071300142596E-3</v>
      </c>
      <c r="O68" s="7">
        <f t="shared" ref="O68:R68" si="50" xml:space="preserve"> (O17-O5)/32.258</f>
        <v>3.5650071300142596E-3</v>
      </c>
      <c r="P68" s="7">
        <f t="shared" si="50"/>
        <v>3.5650071300142613E-3</v>
      </c>
      <c r="Q68" s="7">
        <f t="shared" si="50"/>
        <v>3.1930063860127729E-3</v>
      </c>
      <c r="R68" s="7">
        <f t="shared" si="50"/>
        <v>2.9140058280116548E-3</v>
      </c>
    </row>
    <row r="69" spans="1:18" x14ac:dyDescent="0.2">
      <c r="A69" s="4">
        <v>3</v>
      </c>
      <c r="B69" s="5">
        <v>20</v>
      </c>
      <c r="C69" s="7">
        <f t="shared" si="42"/>
        <v>4.123008246016492E-3</v>
      </c>
      <c r="D69" s="7">
        <f t="shared" si="42"/>
        <v>9.3310186620373225E-3</v>
      </c>
      <c r="E69" s="7">
        <f t="shared" si="42"/>
        <v>8.4010168020336017E-3</v>
      </c>
      <c r="F69" s="7">
        <f t="shared" ref="F69:G69" si="51" xml:space="preserve"> (F18-F6)/32.258</f>
        <v>4.1540083080166155E-3</v>
      </c>
      <c r="G69" s="7">
        <f t="shared" si="51"/>
        <v>3.3790067580135152E-3</v>
      </c>
      <c r="H69" s="7"/>
      <c r="I69" s="7">
        <f t="shared" ref="I69" si="52" xml:space="preserve"> (I18-I6)/32.258</f>
        <v>3.999007998015996E-3</v>
      </c>
      <c r="J69" s="7">
        <f t="shared" ref="J69:M69" si="53" xml:space="preserve"> (J18-J6)/32.258</f>
        <v>4.2470084940169862E-3</v>
      </c>
      <c r="K69" s="7">
        <f t="shared" si="53"/>
        <v>3.5650071300142596E-3</v>
      </c>
      <c r="L69" s="7">
        <f t="shared" si="53"/>
        <v>3.5030070060140116E-3</v>
      </c>
      <c r="M69" s="7">
        <f t="shared" si="53"/>
        <v>3.5340070680141356E-3</v>
      </c>
      <c r="O69" s="7">
        <f t="shared" ref="O69:R69" si="54" xml:space="preserve"> (O18-O6)/32.258</f>
        <v>3.6580073160146316E-3</v>
      </c>
      <c r="P69" s="7">
        <f t="shared" si="54"/>
        <v>3.2550065100130192E-3</v>
      </c>
      <c r="Q69" s="7">
        <f t="shared" si="54"/>
        <v>3.1310062620125249E-3</v>
      </c>
      <c r="R69" s="7">
        <f t="shared" si="54"/>
        <v>3.3170066340132672E-3</v>
      </c>
    </row>
    <row r="70" spans="1:18" x14ac:dyDescent="0.2">
      <c r="A70" s="4">
        <v>4</v>
      </c>
      <c r="B70" s="5">
        <v>20</v>
      </c>
      <c r="C70" s="7">
        <f t="shared" si="42"/>
        <v>3.9060078120156235E-3</v>
      </c>
      <c r="D70" s="7">
        <f t="shared" si="42"/>
        <v>4.4640089280178546E-3</v>
      </c>
      <c r="E70" s="7">
        <f t="shared" si="42"/>
        <v>9.7960195920391829E-3</v>
      </c>
      <c r="F70" s="7">
        <f t="shared" ref="F70:G70" si="55" xml:space="preserve"> (F19-F7)/32.258</f>
        <v>3.8130076260152516E-3</v>
      </c>
      <c r="G70" s="7">
        <f t="shared" si="55"/>
        <v>3.5960071920143836E-3</v>
      </c>
      <c r="H70" s="7"/>
      <c r="I70" s="7">
        <f t="shared" ref="I70" si="56" xml:space="preserve"> (I19-I7)/32.258</f>
        <v>4.1540083080166155E-3</v>
      </c>
      <c r="J70" s="7">
        <f t="shared" ref="J70:M70" si="57" xml:space="preserve"> (J19-J7)/32.258</f>
        <v>3.9990079980159942E-3</v>
      </c>
      <c r="K70" s="7">
        <f t="shared" si="57"/>
        <v>3.4410068820137632E-3</v>
      </c>
      <c r="L70" s="7">
        <f t="shared" si="57"/>
        <v>3.8130076260152516E-3</v>
      </c>
      <c r="M70" s="7">
        <f t="shared" si="57"/>
        <v>3.6890073780147556E-3</v>
      </c>
      <c r="O70" s="7">
        <f t="shared" ref="O70:R70" si="58" xml:space="preserve"> (O19-O7)/32.258</f>
        <v>3.7510075020150053E-3</v>
      </c>
      <c r="P70" s="7">
        <f t="shared" si="58"/>
        <v>3.1620063240126472E-3</v>
      </c>
      <c r="Q70" s="7">
        <f t="shared" si="58"/>
        <v>2.7900055800111605E-3</v>
      </c>
      <c r="R70" s="7">
        <f t="shared" si="58"/>
        <v>3.3790067580135152E-3</v>
      </c>
    </row>
    <row r="71" spans="1:18" x14ac:dyDescent="0.2">
      <c r="A71" s="4">
        <v>5</v>
      </c>
      <c r="B71" s="5">
        <v>20</v>
      </c>
      <c r="C71" s="7">
        <f t="shared" si="42"/>
        <v>4.4330088660177302E-3</v>
      </c>
      <c r="D71" s="7">
        <f t="shared" si="42"/>
        <v>6.2620125240250481E-3</v>
      </c>
      <c r="E71" s="7">
        <f t="shared" si="42"/>
        <v>7.8740157480314942E-3</v>
      </c>
      <c r="F71" s="7">
        <f t="shared" ref="F71:G71" si="59" xml:space="preserve"> (F20-F8)/32.258</f>
        <v>4.0300080600161195E-3</v>
      </c>
      <c r="G71" s="7">
        <f t="shared" si="59"/>
        <v>3.6580073160146316E-3</v>
      </c>
      <c r="H71" s="7"/>
      <c r="I71" s="7">
        <f t="shared" ref="I71" si="60" xml:space="preserve"> (I20-I8)/32.258</f>
        <v>3.9060078120156235E-3</v>
      </c>
      <c r="J71" s="7">
        <f t="shared" ref="J71:M71" si="61" xml:space="preserve"> (J20-J8)/32.258</f>
        <v>3.6890073780147556E-3</v>
      </c>
      <c r="K71" s="7">
        <f t="shared" si="61"/>
        <v>3.7820075640151276E-3</v>
      </c>
      <c r="L71" s="7">
        <f t="shared" si="61"/>
        <v>3.3480066960133912E-3</v>
      </c>
      <c r="M71" s="7">
        <f t="shared" si="61"/>
        <v>3.7510075020150036E-3</v>
      </c>
      <c r="O71" s="7">
        <f t="shared" ref="O71:R71" si="62" xml:space="preserve"> (O20-O8)/32.258</f>
        <v>4.0920081840163675E-3</v>
      </c>
      <c r="P71" s="7">
        <f t="shared" si="62"/>
        <v>3.5030070060140116E-3</v>
      </c>
      <c r="Q71" s="7">
        <f t="shared" si="62"/>
        <v>3.1620063240126472E-3</v>
      </c>
      <c r="R71" s="7">
        <f t="shared" si="62"/>
        <v>3.2550065100130192E-3</v>
      </c>
    </row>
    <row r="72" spans="1:18" x14ac:dyDescent="0.2">
      <c r="A72" s="4"/>
      <c r="B72" s="5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O72" s="7"/>
      <c r="P72" s="7"/>
      <c r="Q72" s="7"/>
      <c r="R72" s="7"/>
    </row>
    <row r="73" spans="1:18" x14ac:dyDescent="0.2">
      <c r="A73" s="4">
        <v>1</v>
      </c>
      <c r="B73" s="5">
        <v>30</v>
      </c>
      <c r="C73" s="7">
        <f t="shared" ref="C73:E77" si="63" xml:space="preserve"> (C22-C4)/32.258</f>
        <v>4.5260090520181026E-3</v>
      </c>
      <c r="D73" s="7">
        <f t="shared" si="63"/>
        <v>5.4870109740219469E-3</v>
      </c>
      <c r="E73" s="7">
        <f t="shared" si="63"/>
        <v>9.5170190340380673E-3</v>
      </c>
      <c r="F73" s="7">
        <f t="shared" ref="F73:G73" si="64" xml:space="preserve"> (F22-F4)/32.258</f>
        <v>4.0920081840163675E-3</v>
      </c>
      <c r="G73" s="7">
        <f t="shared" si="64"/>
        <v>3.7510075020150036E-3</v>
      </c>
      <c r="H73" s="7"/>
      <c r="I73" s="7">
        <f t="shared" ref="I73" si="65" xml:space="preserve"> (I22-I4)/32.258</f>
        <v>4.061008122016244E-3</v>
      </c>
      <c r="J73" s="7">
        <f t="shared" ref="J73:M73" si="66" xml:space="preserve"> (J22-J4)/32.258</f>
        <v>4.4640089280178546E-3</v>
      </c>
      <c r="K73" s="7">
        <f t="shared" si="66"/>
        <v>3.5960071920143836E-3</v>
      </c>
      <c r="L73" s="7">
        <f t="shared" si="66"/>
        <v>3.999007998015996E-3</v>
      </c>
      <c r="M73" s="7">
        <f t="shared" si="66"/>
        <v>3.7510075020150036E-3</v>
      </c>
      <c r="O73" s="7">
        <f t="shared" ref="O73:R73" si="67" xml:space="preserve"> (O22-O4)/32.258</f>
        <v>3.7820075640151276E-3</v>
      </c>
      <c r="P73" s="7">
        <f t="shared" si="67"/>
        <v>3.3170066340132672E-3</v>
      </c>
      <c r="Q73" s="7">
        <f t="shared" si="67"/>
        <v>3.5340070680141356E-3</v>
      </c>
      <c r="R73" s="7">
        <f t="shared" si="67"/>
        <v>3.4410068820137632E-3</v>
      </c>
    </row>
    <row r="74" spans="1:18" x14ac:dyDescent="0.2">
      <c r="A74" s="4">
        <v>2</v>
      </c>
      <c r="B74" s="5">
        <v>30</v>
      </c>
      <c r="C74" s="7">
        <f t="shared" si="63"/>
        <v>4.3400086800173586E-3</v>
      </c>
      <c r="D74" s="7">
        <f t="shared" si="63"/>
        <v>8.432016864033727E-3</v>
      </c>
      <c r="E74" s="7">
        <f t="shared" si="63"/>
        <v>7.9050158100316178E-3</v>
      </c>
      <c r="F74" s="7">
        <f t="shared" ref="F74:G74" si="68" xml:space="preserve"> (F23-F5)/32.258</f>
        <v>3.8440076880153756E-3</v>
      </c>
      <c r="G74" s="7">
        <f t="shared" si="68"/>
        <v>3.937007874015748E-3</v>
      </c>
      <c r="H74" s="7"/>
      <c r="I74" s="7">
        <f t="shared" ref="I74" si="69" xml:space="preserve"> (I23-I5)/32.258</f>
        <v>4.061008122016244E-3</v>
      </c>
      <c r="J74" s="7">
        <f t="shared" ref="J74:M74" si="70" xml:space="preserve"> (J23-J5)/32.258</f>
        <v>3.999007998015996E-3</v>
      </c>
      <c r="K74" s="7">
        <f t="shared" si="70"/>
        <v>3.6580073160146316E-3</v>
      </c>
      <c r="L74" s="7">
        <f t="shared" si="70"/>
        <v>3.8750077500154996E-3</v>
      </c>
      <c r="M74" s="7">
        <f t="shared" si="70"/>
        <v>3.7200074400148796E-3</v>
      </c>
      <c r="O74" s="7">
        <f t="shared" ref="O74:R74" si="71" xml:space="preserve"> (O23-O5)/32.258</f>
        <v>3.4100068200136392E-3</v>
      </c>
      <c r="P74" s="7">
        <f t="shared" si="71"/>
        <v>3.5960071920143853E-3</v>
      </c>
      <c r="Q74" s="7">
        <f t="shared" si="71"/>
        <v>3.2860065720131449E-3</v>
      </c>
      <c r="R74" s="7">
        <f t="shared" si="71"/>
        <v>3.4410068820137632E-3</v>
      </c>
    </row>
    <row r="75" spans="1:18" x14ac:dyDescent="0.2">
      <c r="A75" s="4">
        <v>3</v>
      </c>
      <c r="B75" s="5">
        <v>30</v>
      </c>
      <c r="C75" s="7">
        <f t="shared" si="63"/>
        <v>4.5880091760183506E-3</v>
      </c>
      <c r="D75" s="7">
        <f t="shared" si="63"/>
        <v>9.3620187240374478E-3</v>
      </c>
      <c r="E75" s="7">
        <f t="shared" si="63"/>
        <v>8.9590179180358345E-3</v>
      </c>
      <c r="F75" s="7">
        <f t="shared" ref="F75:G75" si="72" xml:space="preserve"> (F24-F6)/32.258</f>
        <v>4.1850083700167399E-3</v>
      </c>
      <c r="G75" s="7">
        <f t="shared" si="72"/>
        <v>3.7510075020150036E-3</v>
      </c>
      <c r="H75" s="7"/>
      <c r="I75" s="7">
        <f t="shared" ref="I75" si="73" xml:space="preserve"> (I24-I6)/32.258</f>
        <v>4.2470084940169879E-3</v>
      </c>
      <c r="J75" s="7">
        <f t="shared" ref="J75:M75" si="74" xml:space="preserve"> (J24-J6)/32.258</f>
        <v>4.3710087420174822E-3</v>
      </c>
      <c r="K75" s="7">
        <f t="shared" si="74"/>
        <v>3.8750077500154996E-3</v>
      </c>
      <c r="L75" s="7">
        <f t="shared" si="74"/>
        <v>3.3480066960133912E-3</v>
      </c>
      <c r="M75" s="7">
        <f t="shared" si="74"/>
        <v>3.6890073780147556E-3</v>
      </c>
      <c r="O75" s="7">
        <f t="shared" ref="O75:R75" si="75" xml:space="preserve"> (O24-O6)/32.258</f>
        <v>3.7510075020150036E-3</v>
      </c>
      <c r="P75" s="7">
        <f t="shared" si="75"/>
        <v>3.5650071300142596E-3</v>
      </c>
      <c r="Q75" s="7">
        <f t="shared" si="75"/>
        <v>3.0070060140120285E-3</v>
      </c>
      <c r="R75" s="7">
        <f t="shared" si="75"/>
        <v>3.7820075640151276E-3</v>
      </c>
    </row>
    <row r="76" spans="1:18" x14ac:dyDescent="0.2">
      <c r="A76" s="4">
        <v>4</v>
      </c>
      <c r="B76" s="5">
        <v>30</v>
      </c>
      <c r="C76" s="7">
        <f t="shared" si="63"/>
        <v>4.4020088040176084E-3</v>
      </c>
      <c r="D76" s="7">
        <f t="shared" si="63"/>
        <v>4.5260090520181026E-3</v>
      </c>
      <c r="E76" s="7">
        <f t="shared" si="63"/>
        <v>9.7340194680389357E-3</v>
      </c>
      <c r="F76" s="7">
        <f t="shared" ref="F76:G76" si="76" xml:space="preserve"> (F25-F7)/32.258</f>
        <v>3.8750077500154996E-3</v>
      </c>
      <c r="G76" s="7">
        <f t="shared" si="76"/>
        <v>3.8440076880153756E-3</v>
      </c>
      <c r="H76" s="7"/>
      <c r="I76" s="7">
        <f t="shared" ref="I76" si="77" xml:space="preserve"> (I25-I7)/32.258</f>
        <v>4.3090086180172359E-3</v>
      </c>
      <c r="J76" s="7">
        <f t="shared" ref="J76:M76" si="78" xml:space="preserve"> (J25-J7)/32.258</f>
        <v>4.0920081840163658E-3</v>
      </c>
      <c r="K76" s="7">
        <f t="shared" si="78"/>
        <v>3.7200074400148796E-3</v>
      </c>
      <c r="L76" s="7">
        <f t="shared" si="78"/>
        <v>3.8440076880153756E-3</v>
      </c>
      <c r="M76" s="7">
        <f t="shared" si="78"/>
        <v>3.8130076260152516E-3</v>
      </c>
      <c r="O76" s="7">
        <f t="shared" ref="O76:R76" si="79" xml:space="preserve"> (O25-O7)/32.258</f>
        <v>3.4720069440138889E-3</v>
      </c>
      <c r="P76" s="7">
        <f t="shared" si="79"/>
        <v>3.4410068820137632E-3</v>
      </c>
      <c r="Q76" s="7">
        <f t="shared" si="79"/>
        <v>2.8830057660115325E-3</v>
      </c>
      <c r="R76" s="7">
        <f t="shared" si="79"/>
        <v>3.7200074400148796E-3</v>
      </c>
    </row>
    <row r="77" spans="1:18" x14ac:dyDescent="0.2">
      <c r="A77" s="4">
        <v>5</v>
      </c>
      <c r="B77" s="5">
        <v>30</v>
      </c>
      <c r="C77" s="7">
        <f t="shared" si="63"/>
        <v>4.929009858019715E-3</v>
      </c>
      <c r="D77" s="7">
        <f t="shared" si="63"/>
        <v>7.0990141980283965E-3</v>
      </c>
      <c r="E77" s="7">
        <f t="shared" si="63"/>
        <v>8.3080166160332293E-3</v>
      </c>
      <c r="F77" s="7">
        <f t="shared" ref="F77:G77" si="80" xml:space="preserve"> (F26-F8)/32.258</f>
        <v>4.1540083080166155E-3</v>
      </c>
      <c r="G77" s="7">
        <f t="shared" si="80"/>
        <v>3.7200074400148796E-3</v>
      </c>
      <c r="H77" s="7"/>
      <c r="I77" s="7">
        <f t="shared" ref="I77" si="81" xml:space="preserve"> (I26-I8)/32.258</f>
        <v>4.0300080600161195E-3</v>
      </c>
      <c r="J77" s="7">
        <f t="shared" ref="J77:M77" si="82" xml:space="preserve"> (J26-J8)/32.258</f>
        <v>3.8440076880153756E-3</v>
      </c>
      <c r="K77" s="7">
        <f t="shared" si="82"/>
        <v>3.6890073780147556E-3</v>
      </c>
      <c r="L77" s="7">
        <f t="shared" si="82"/>
        <v>3.5650071300142596E-3</v>
      </c>
      <c r="M77" s="7">
        <f t="shared" si="82"/>
        <v>3.7820075640151276E-3</v>
      </c>
      <c r="O77" s="7">
        <f t="shared" ref="O77:R77" si="83" xml:space="preserve"> (O26-O8)/32.258</f>
        <v>4.2160084320168644E-3</v>
      </c>
      <c r="P77" s="7">
        <f t="shared" si="83"/>
        <v>3.8130076260152516E-3</v>
      </c>
      <c r="Q77" s="7">
        <f t="shared" si="83"/>
        <v>3.0380060760121529E-3</v>
      </c>
      <c r="R77" s="7">
        <f t="shared" si="83"/>
        <v>3.5340070680141356E-3</v>
      </c>
    </row>
    <row r="78" spans="1:18" x14ac:dyDescent="0.2">
      <c r="A78" s="4"/>
      <c r="B78" s="5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O78" s="7"/>
      <c r="P78" s="7"/>
      <c r="Q78" s="7"/>
      <c r="R78" s="7"/>
    </row>
    <row r="79" spans="1:18" x14ac:dyDescent="0.2">
      <c r="A79" s="4">
        <v>1</v>
      </c>
      <c r="B79" s="5">
        <v>40</v>
      </c>
      <c r="C79" s="7">
        <f t="shared" ref="C79:E83" si="84" xml:space="preserve"> (C28-C4)/32.258</f>
        <v>4.6190092380184742E-3</v>
      </c>
      <c r="D79" s="7">
        <f t="shared" si="84"/>
        <v>5.9830119660239317E-3</v>
      </c>
      <c r="E79" s="7">
        <f t="shared" si="84"/>
        <v>9.7340194680389357E-3</v>
      </c>
      <c r="F79" s="7">
        <f t="shared" ref="F79:G79" si="85" xml:space="preserve"> (F28-F4)/32.258</f>
        <v>4.0920081840163675E-3</v>
      </c>
      <c r="G79" s="7">
        <f t="shared" si="85"/>
        <v>3.937007874015748E-3</v>
      </c>
      <c r="H79" s="7"/>
      <c r="I79" s="7">
        <f t="shared" ref="I79" si="86" xml:space="preserve"> (I28-I4)/32.258</f>
        <v>4.2780085560171124E-3</v>
      </c>
      <c r="J79" s="7">
        <f t="shared" ref="J79:M79" si="87" xml:space="preserve"> (J28-J4)/32.258</f>
        <v>4.6190092380184742E-3</v>
      </c>
      <c r="K79" s="7">
        <f t="shared" si="87"/>
        <v>3.8130076260152516E-3</v>
      </c>
      <c r="L79" s="7">
        <f t="shared" si="87"/>
        <v>4.0920081840163675E-3</v>
      </c>
      <c r="M79" s="7">
        <f t="shared" si="87"/>
        <v>3.7820075640151276E-3</v>
      </c>
      <c r="O79" s="7">
        <f t="shared" ref="O79:R79" si="88" xml:space="preserve"> (O28-O4)/32.258</f>
        <v>4.0300080600161195E-3</v>
      </c>
      <c r="P79" s="7">
        <f t="shared" si="88"/>
        <v>3.6890073780147556E-3</v>
      </c>
      <c r="Q79" s="7">
        <f t="shared" si="88"/>
        <v>3.3480066960133912E-3</v>
      </c>
      <c r="R79" s="7">
        <f t="shared" si="88"/>
        <v>3.6270072540145076E-3</v>
      </c>
    </row>
    <row r="80" spans="1:18" x14ac:dyDescent="0.2">
      <c r="A80" s="4">
        <v>2</v>
      </c>
      <c r="B80" s="5">
        <v>40</v>
      </c>
      <c r="C80" s="7">
        <f t="shared" si="84"/>
        <v>4.4020088040176066E-3</v>
      </c>
      <c r="D80" s="7">
        <f t="shared" si="84"/>
        <v>8.8970177940355874E-3</v>
      </c>
      <c r="E80" s="7">
        <f t="shared" si="84"/>
        <v>8.3700167400334782E-3</v>
      </c>
      <c r="F80" s="7">
        <f t="shared" ref="F80:G80" si="89" xml:space="preserve"> (F29-F5)/32.258</f>
        <v>3.7820075640151276E-3</v>
      </c>
      <c r="G80" s="7">
        <f t="shared" si="89"/>
        <v>4.1540083080166155E-3</v>
      </c>
      <c r="H80" s="7"/>
      <c r="I80" s="7">
        <f t="shared" ref="I80" si="90" xml:space="preserve"> (I29-I5)/32.258</f>
        <v>4.1850083700167399E-3</v>
      </c>
      <c r="J80" s="7">
        <f t="shared" ref="J80:M80" si="91" xml:space="preserve"> (J29-J5)/32.258</f>
        <v>4.0300080600161195E-3</v>
      </c>
      <c r="K80" s="7">
        <f t="shared" si="91"/>
        <v>3.9680079360158715E-3</v>
      </c>
      <c r="L80" s="7">
        <f t="shared" si="91"/>
        <v>4.0610081220162422E-3</v>
      </c>
      <c r="M80" s="7">
        <f t="shared" si="91"/>
        <v>3.7820075640151276E-3</v>
      </c>
      <c r="O80" s="7">
        <f t="shared" ref="O80:R80" si="92" xml:space="preserve"> (O29-O5)/32.258</f>
        <v>3.4410068820137632E-3</v>
      </c>
      <c r="P80" s="7">
        <f t="shared" si="92"/>
        <v>3.937007874015748E-3</v>
      </c>
      <c r="Q80" s="7">
        <f t="shared" si="92"/>
        <v>3.1000062000124009E-3</v>
      </c>
      <c r="R80" s="7">
        <f t="shared" si="92"/>
        <v>3.5650071300142596E-3</v>
      </c>
    </row>
    <row r="81" spans="1:18" x14ac:dyDescent="0.2">
      <c r="A81" s="4">
        <v>3</v>
      </c>
      <c r="B81" s="5">
        <v>40</v>
      </c>
      <c r="C81" s="7">
        <f t="shared" si="84"/>
        <v>4.867009734019467E-3</v>
      </c>
      <c r="D81" s="7">
        <f t="shared" si="84"/>
        <v>9.7340194680389357E-3</v>
      </c>
      <c r="E81" s="7">
        <f t="shared" si="84"/>
        <v>9.2070184140368265E-3</v>
      </c>
      <c r="F81" s="7">
        <f t="shared" ref="F81:G81" si="93" xml:space="preserve"> (F30-F6)/32.258</f>
        <v>4.2780085560171124E-3</v>
      </c>
      <c r="G81" s="7">
        <f t="shared" si="93"/>
        <v>3.8130076260152516E-3</v>
      </c>
      <c r="H81" s="7"/>
      <c r="I81" s="7">
        <f t="shared" ref="I81" si="94" xml:space="preserve"> (I30-I6)/32.258</f>
        <v>4.681009362018723E-3</v>
      </c>
      <c r="J81" s="7">
        <f t="shared" ref="J81:M81" si="95" xml:space="preserve"> (J30-J6)/32.258</f>
        <v>4.4950089900179782E-3</v>
      </c>
      <c r="K81" s="7">
        <f t="shared" si="95"/>
        <v>3.999007998015996E-3</v>
      </c>
      <c r="L81" s="7">
        <f t="shared" si="95"/>
        <v>3.4720069440138876E-3</v>
      </c>
      <c r="M81" s="7">
        <f t="shared" si="95"/>
        <v>3.6890073780147556E-3</v>
      </c>
      <c r="O81" s="7">
        <f t="shared" ref="O81:R81" si="96" xml:space="preserve"> (O30-O6)/32.258</f>
        <v>3.6890073780147556E-3</v>
      </c>
      <c r="P81" s="7">
        <f t="shared" si="96"/>
        <v>3.7200074400148796E-3</v>
      </c>
      <c r="Q81" s="7">
        <f t="shared" si="96"/>
        <v>3.1620063240126489E-3</v>
      </c>
      <c r="R81" s="7">
        <f t="shared" si="96"/>
        <v>3.7820075640151276E-3</v>
      </c>
    </row>
    <row r="82" spans="1:18" x14ac:dyDescent="0.2">
      <c r="A82" s="4">
        <v>4</v>
      </c>
      <c r="B82" s="5">
        <v>40</v>
      </c>
      <c r="C82" s="7">
        <f t="shared" si="84"/>
        <v>4.4640089280178563E-3</v>
      </c>
      <c r="D82" s="7">
        <f t="shared" si="84"/>
        <v>5.3320106640213274E-3</v>
      </c>
      <c r="E82" s="7">
        <f t="shared" si="84"/>
        <v>9.7030194060388104E-3</v>
      </c>
      <c r="F82" s="7">
        <f t="shared" ref="F82:G82" si="97" xml:space="preserve"> (F31-F7)/32.258</f>
        <v>3.7820075640151276E-3</v>
      </c>
      <c r="G82" s="7">
        <f t="shared" si="97"/>
        <v>3.937007874015748E-3</v>
      </c>
      <c r="H82" s="7"/>
      <c r="I82" s="7">
        <f t="shared" ref="I82" si="98" xml:space="preserve"> (I31-I7)/32.258</f>
        <v>4.4950089900179782E-3</v>
      </c>
      <c r="J82" s="7">
        <f t="shared" ref="J82:M82" si="99" xml:space="preserve"> (J31-J7)/32.258</f>
        <v>4.2470084940169862E-3</v>
      </c>
      <c r="K82" s="7">
        <f t="shared" si="99"/>
        <v>3.8440076880153756E-3</v>
      </c>
      <c r="L82" s="7">
        <f t="shared" si="99"/>
        <v>3.9680079360158715E-3</v>
      </c>
      <c r="M82" s="7">
        <f t="shared" si="99"/>
        <v>3.9680079360158715E-3</v>
      </c>
      <c r="O82" s="7">
        <f t="shared" ref="O82:R82" si="100" xml:space="preserve"> (O31-O7)/32.258</f>
        <v>3.6580073160146333E-3</v>
      </c>
      <c r="P82" s="7">
        <f t="shared" si="100"/>
        <v>3.6580073160146316E-3</v>
      </c>
      <c r="Q82" s="7">
        <f t="shared" si="100"/>
        <v>3.1310062620125249E-3</v>
      </c>
      <c r="R82" s="7">
        <f t="shared" si="100"/>
        <v>3.8130076260152516E-3</v>
      </c>
    </row>
    <row r="83" spans="1:18" x14ac:dyDescent="0.2">
      <c r="A83" s="4">
        <v>5</v>
      </c>
      <c r="B83" s="5">
        <v>40</v>
      </c>
      <c r="C83" s="7">
        <f t="shared" si="84"/>
        <v>5.0840101680203345E-3</v>
      </c>
      <c r="D83" s="7">
        <f t="shared" si="84"/>
        <v>7.5020150040300054E-3</v>
      </c>
      <c r="E83" s="7">
        <f t="shared" si="84"/>
        <v>8.6490172980345937E-3</v>
      </c>
      <c r="F83" s="7">
        <f t="shared" ref="F83:G83" si="101" xml:space="preserve"> (F32-F8)/32.258</f>
        <v>3.999007998015996E-3</v>
      </c>
      <c r="G83" s="7">
        <f t="shared" si="101"/>
        <v>3.6270072540145076E-3</v>
      </c>
      <c r="H83" s="7"/>
      <c r="I83" s="7">
        <f t="shared" ref="I83" si="102" xml:space="preserve"> (I32-I8)/32.258</f>
        <v>4.2160084320168644E-3</v>
      </c>
      <c r="J83" s="7">
        <f t="shared" ref="J83:M83" si="103" xml:space="preserve"> (J32-J8)/32.258</f>
        <v>3.9060078120156235E-3</v>
      </c>
      <c r="K83" s="7">
        <f t="shared" si="103"/>
        <v>3.937007874015748E-3</v>
      </c>
      <c r="L83" s="7">
        <f t="shared" si="103"/>
        <v>3.6580073160146316E-3</v>
      </c>
      <c r="M83" s="7">
        <f t="shared" si="103"/>
        <v>3.8130076260152516E-3</v>
      </c>
      <c r="O83" s="7">
        <f t="shared" ref="O83:R83" si="104" xml:space="preserve"> (O32-O8)/32.258</f>
        <v>4.4640089280178546E-3</v>
      </c>
      <c r="P83" s="7">
        <f t="shared" si="104"/>
        <v>3.6580073160146316E-3</v>
      </c>
      <c r="Q83" s="7">
        <f t="shared" si="104"/>
        <v>3.2860065720131432E-3</v>
      </c>
      <c r="R83" s="7">
        <f t="shared" si="104"/>
        <v>3.6890073780147556E-3</v>
      </c>
    </row>
    <row r="84" spans="1:18" x14ac:dyDescent="0.2">
      <c r="A84" s="4"/>
      <c r="B84" s="5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O84" s="7"/>
      <c r="P84" s="7"/>
      <c r="Q84" s="7"/>
      <c r="R84" s="7"/>
    </row>
    <row r="85" spans="1:18" x14ac:dyDescent="0.2">
      <c r="A85" s="4">
        <v>1</v>
      </c>
      <c r="B85" s="5">
        <v>50</v>
      </c>
      <c r="C85" s="7">
        <f t="shared" ref="C85:E89" si="105" xml:space="preserve"> (C34-C4)/32.258</f>
        <v>4.9600099200198386E-3</v>
      </c>
      <c r="D85" s="7">
        <f t="shared" si="105"/>
        <v>6.5410130820261645E-3</v>
      </c>
      <c r="E85" s="7">
        <f t="shared" si="105"/>
        <v>9.5790191580383145E-3</v>
      </c>
      <c r="F85" s="7">
        <f t="shared" ref="F85:G85" si="106" xml:space="preserve"> (F34-F4)/32.258</f>
        <v>4.1540083080166155E-3</v>
      </c>
      <c r="G85" s="7">
        <f t="shared" si="106"/>
        <v>3.937007874015748E-3</v>
      </c>
      <c r="H85" s="7"/>
      <c r="I85" s="7">
        <f t="shared" ref="I85" si="107" xml:space="preserve"> (I34-I4)/32.258</f>
        <v>4.4950089900179782E-3</v>
      </c>
      <c r="J85" s="7">
        <f t="shared" ref="J85:M85" si="108" xml:space="preserve"> (J34-J4)/32.258</f>
        <v>4.8980097960195906E-3</v>
      </c>
      <c r="K85" s="7">
        <f t="shared" si="108"/>
        <v>3.8750077500154996E-3</v>
      </c>
      <c r="L85" s="7">
        <f t="shared" si="108"/>
        <v>4.1540083080166155E-3</v>
      </c>
      <c r="M85" s="7">
        <f t="shared" si="108"/>
        <v>3.9060078120156235E-3</v>
      </c>
      <c r="O85" s="7">
        <f t="shared" ref="O85:R85" si="109" xml:space="preserve"> (O34-O4)/32.258</f>
        <v>3.8750077500154996E-3</v>
      </c>
      <c r="P85" s="7">
        <f t="shared" si="109"/>
        <v>3.6580073160146316E-3</v>
      </c>
      <c r="Q85" s="7">
        <f t="shared" si="109"/>
        <v>3.5340070680141356E-3</v>
      </c>
      <c r="R85" s="7">
        <f t="shared" si="109"/>
        <v>3.6580073160146316E-3</v>
      </c>
    </row>
    <row r="86" spans="1:18" x14ac:dyDescent="0.2">
      <c r="A86" s="4">
        <v>2</v>
      </c>
      <c r="B86" s="5">
        <v>50</v>
      </c>
      <c r="C86" s="7">
        <f t="shared" si="105"/>
        <v>4.743009486018971E-3</v>
      </c>
      <c r="D86" s="7">
        <f t="shared" si="105"/>
        <v>9.0210180420360834E-3</v>
      </c>
      <c r="E86" s="7">
        <f t="shared" si="105"/>
        <v>8.0910161820323626E-3</v>
      </c>
      <c r="F86" s="7">
        <f t="shared" ref="F86:G86" si="110" xml:space="preserve"> (F35-F5)/32.258</f>
        <v>3.8130076260152516E-3</v>
      </c>
      <c r="G86" s="7">
        <f t="shared" si="110"/>
        <v>4.061008122016244E-3</v>
      </c>
      <c r="H86" s="7"/>
      <c r="I86" s="7">
        <f t="shared" ref="I86" si="111" xml:space="preserve"> (I35-I5)/32.258</f>
        <v>4.4020088040176084E-3</v>
      </c>
      <c r="J86" s="7">
        <f t="shared" ref="J86:M86" si="112" xml:space="preserve"> (J35-J5)/32.258</f>
        <v>4.4020088040176066E-3</v>
      </c>
      <c r="K86" s="7">
        <f t="shared" si="112"/>
        <v>4.0920081840163675E-3</v>
      </c>
      <c r="L86" s="7">
        <f t="shared" si="112"/>
        <v>4.1850083700167382E-3</v>
      </c>
      <c r="M86" s="7">
        <f t="shared" si="112"/>
        <v>3.937007874015748E-3</v>
      </c>
      <c r="O86" s="7">
        <f t="shared" ref="O86:R86" si="113" xml:space="preserve"> (O35-O5)/32.258</f>
        <v>3.5030070060140116E-3</v>
      </c>
      <c r="P86" s="7">
        <f t="shared" si="113"/>
        <v>3.8750077500154996E-3</v>
      </c>
      <c r="Q86" s="7">
        <f t="shared" si="113"/>
        <v>3.1000062000124009E-3</v>
      </c>
      <c r="R86" s="7">
        <f t="shared" si="113"/>
        <v>3.6890073780147556E-3</v>
      </c>
    </row>
    <row r="87" spans="1:18" x14ac:dyDescent="0.2">
      <c r="A87" s="4">
        <v>3</v>
      </c>
      <c r="B87" s="5">
        <v>50</v>
      </c>
      <c r="C87" s="7">
        <f t="shared" si="105"/>
        <v>5.301010602021203E-3</v>
      </c>
      <c r="D87" s="7">
        <f t="shared" si="105"/>
        <v>9.6100192200384398E-3</v>
      </c>
      <c r="E87" s="7">
        <f t="shared" si="105"/>
        <v>9.0830181660363305E-3</v>
      </c>
      <c r="F87" s="7">
        <f t="shared" ref="F87:G87" si="114" xml:space="preserve"> (F36-F6)/32.258</f>
        <v>4.4020088040176066E-3</v>
      </c>
      <c r="G87" s="7">
        <f t="shared" si="114"/>
        <v>3.6580073160146316E-3</v>
      </c>
      <c r="H87" s="7"/>
      <c r="I87" s="7">
        <f t="shared" ref="I87" si="115" xml:space="preserve"> (I36-I6)/32.258</f>
        <v>4.4640089280178563E-3</v>
      </c>
      <c r="J87" s="7">
        <f t="shared" ref="J87:M87" si="116" xml:space="preserve"> (J36-J6)/32.258</f>
        <v>4.681009362018723E-3</v>
      </c>
      <c r="K87" s="7">
        <f t="shared" si="116"/>
        <v>3.937007874015748E-3</v>
      </c>
      <c r="L87" s="7">
        <f t="shared" si="116"/>
        <v>3.6270072540145076E-3</v>
      </c>
      <c r="M87" s="7">
        <f t="shared" si="116"/>
        <v>3.6270072540145076E-3</v>
      </c>
      <c r="O87" s="7">
        <f t="shared" ref="O87:R87" si="117" xml:space="preserve"> (O36-O6)/32.258</f>
        <v>3.8440076880153756E-3</v>
      </c>
      <c r="P87" s="7">
        <f t="shared" si="117"/>
        <v>3.5650071300142596E-3</v>
      </c>
      <c r="Q87" s="7">
        <f t="shared" si="117"/>
        <v>3.0690061380122769E-3</v>
      </c>
      <c r="R87" s="7">
        <f t="shared" si="117"/>
        <v>3.9060078120156235E-3</v>
      </c>
    </row>
    <row r="88" spans="1:18" x14ac:dyDescent="0.2">
      <c r="A88" s="4">
        <v>4</v>
      </c>
      <c r="B88" s="5">
        <v>50</v>
      </c>
      <c r="C88" s="7">
        <f t="shared" si="105"/>
        <v>4.6190092380184742E-3</v>
      </c>
      <c r="D88" s="7">
        <f t="shared" si="105"/>
        <v>5.7040114080228153E-3</v>
      </c>
      <c r="E88" s="7">
        <f t="shared" si="105"/>
        <v>1.0292020584041169E-2</v>
      </c>
      <c r="F88" s="7">
        <f t="shared" ref="F88:G88" si="118" xml:space="preserve"> (F37-F7)/32.258</f>
        <v>4.123008246016492E-3</v>
      </c>
      <c r="G88" s="7">
        <f t="shared" si="118"/>
        <v>3.9060078120156235E-3</v>
      </c>
      <c r="H88" s="7"/>
      <c r="I88" s="7">
        <f t="shared" ref="I88" si="119" xml:space="preserve"> (I37-I7)/32.258</f>
        <v>4.4330088660177302E-3</v>
      </c>
      <c r="J88" s="7">
        <f t="shared" ref="J88:M88" si="120" xml:space="preserve"> (J37-J7)/32.258</f>
        <v>4.3090086180172342E-3</v>
      </c>
      <c r="K88" s="7">
        <f t="shared" si="120"/>
        <v>3.937007874015748E-3</v>
      </c>
      <c r="L88" s="7">
        <f t="shared" si="120"/>
        <v>4.0920081840163675E-3</v>
      </c>
      <c r="M88" s="7">
        <f t="shared" si="120"/>
        <v>3.9680079360158715E-3</v>
      </c>
      <c r="O88" s="7">
        <f t="shared" ref="O88:R88" si="121" xml:space="preserve"> (O37-O7)/32.258</f>
        <v>3.8440076880153773E-3</v>
      </c>
      <c r="P88" s="7">
        <f t="shared" si="121"/>
        <v>3.6890073780147556E-3</v>
      </c>
      <c r="Q88" s="7">
        <f t="shared" si="121"/>
        <v>3.2860065720131449E-3</v>
      </c>
      <c r="R88" s="7">
        <f t="shared" si="121"/>
        <v>3.937007874015748E-3</v>
      </c>
    </row>
    <row r="89" spans="1:18" x14ac:dyDescent="0.2">
      <c r="A89" s="4">
        <v>5</v>
      </c>
      <c r="B89" s="5">
        <v>50</v>
      </c>
      <c r="C89" s="7">
        <f t="shared" si="105"/>
        <v>5.2080104160208314E-3</v>
      </c>
      <c r="D89" s="7">
        <f t="shared" si="105"/>
        <v>7.9360158720317413E-3</v>
      </c>
      <c r="E89" s="7">
        <f t="shared" si="105"/>
        <v>9.3310186620373225E-3</v>
      </c>
      <c r="F89" s="7">
        <f t="shared" ref="F89:G89" si="122" xml:space="preserve"> (F38-F8)/32.258</f>
        <v>4.2780085560171124E-3</v>
      </c>
      <c r="G89" s="7">
        <f t="shared" si="122"/>
        <v>3.6270072540145076E-3</v>
      </c>
      <c r="H89" s="7"/>
      <c r="I89" s="7">
        <f t="shared" ref="I89" si="123" xml:space="preserve"> (I38-I8)/32.258</f>
        <v>4.1850083700167399E-3</v>
      </c>
      <c r="J89" s="7">
        <f t="shared" ref="J89:M89" si="124" xml:space="preserve"> (J38-J8)/32.258</f>
        <v>4.061008122016244E-3</v>
      </c>
      <c r="K89" s="7">
        <f t="shared" si="124"/>
        <v>4.0300080600161195E-3</v>
      </c>
      <c r="L89" s="7">
        <f t="shared" si="124"/>
        <v>3.8130076260152516E-3</v>
      </c>
      <c r="M89" s="7">
        <f t="shared" si="124"/>
        <v>3.9060078120156235E-3</v>
      </c>
      <c r="O89" s="7">
        <f t="shared" ref="O89:R89" si="125" xml:space="preserve"> (O38-O8)/32.258</f>
        <v>4.7120094240188466E-3</v>
      </c>
      <c r="P89" s="7">
        <f t="shared" si="125"/>
        <v>3.8440076880153756E-3</v>
      </c>
      <c r="Q89" s="7">
        <f t="shared" si="125"/>
        <v>3.1000062000124009E-3</v>
      </c>
      <c r="R89" s="7">
        <f t="shared" si="125"/>
        <v>3.7510075020150036E-3</v>
      </c>
    </row>
    <row r="90" spans="1:18" x14ac:dyDescent="0.2">
      <c r="A90" s="4"/>
      <c r="B90" s="5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O90" s="7"/>
      <c r="P90" s="7"/>
      <c r="Q90" s="7"/>
      <c r="R90" s="7"/>
    </row>
    <row r="91" spans="1:18" x14ac:dyDescent="0.2">
      <c r="A91" s="4">
        <v>1</v>
      </c>
      <c r="B91" s="5">
        <v>60</v>
      </c>
      <c r="C91" s="7">
        <f t="shared" ref="C91:E95" si="126" xml:space="preserve"> (C40-C4)/32.258</f>
        <v>5.2080104160208314E-3</v>
      </c>
      <c r="D91" s="7">
        <f t="shared" si="126"/>
        <v>7.0680141360282694E-3</v>
      </c>
      <c r="E91" s="7">
        <f t="shared" si="126"/>
        <v>1.023002046004092E-2</v>
      </c>
      <c r="F91" s="7">
        <f t="shared" ref="F91:G91" si="127" xml:space="preserve"> (F40-F4)/32.258</f>
        <v>4.3400086800173604E-3</v>
      </c>
      <c r="G91" s="7">
        <f t="shared" si="127"/>
        <v>3.937007874015748E-3</v>
      </c>
      <c r="H91" s="7"/>
      <c r="I91" s="7">
        <f t="shared" ref="I91" si="128" xml:space="preserve"> (I40-I4)/32.258</f>
        <v>4.2780085560171124E-3</v>
      </c>
      <c r="J91" s="7">
        <f t="shared" ref="J91:M91" si="129" xml:space="preserve"> (J40-J4)/32.258</f>
        <v>4.8360096720193426E-3</v>
      </c>
      <c r="K91" s="7">
        <f t="shared" si="129"/>
        <v>3.8130076260152516E-3</v>
      </c>
      <c r="L91" s="7">
        <f t="shared" si="129"/>
        <v>4.2160084320168644E-3</v>
      </c>
      <c r="M91" s="7">
        <f t="shared" si="129"/>
        <v>3.9680079360158715E-3</v>
      </c>
      <c r="O91" s="7">
        <f t="shared" ref="O91:R91" si="130" xml:space="preserve"> (O40-O4)/32.258</f>
        <v>3.8130076260152516E-3</v>
      </c>
      <c r="P91" s="7">
        <f t="shared" si="130"/>
        <v>3.6270072540145076E-3</v>
      </c>
      <c r="Q91" s="7">
        <f t="shared" si="130"/>
        <v>3.5030070060140116E-3</v>
      </c>
      <c r="R91" s="7">
        <f t="shared" si="130"/>
        <v>3.7820075640151276E-3</v>
      </c>
    </row>
    <row r="92" spans="1:18" x14ac:dyDescent="0.2">
      <c r="A92" s="4">
        <v>2</v>
      </c>
      <c r="B92" s="5">
        <v>60</v>
      </c>
      <c r="C92" s="7">
        <f t="shared" si="126"/>
        <v>4.8980097960195906E-3</v>
      </c>
      <c r="D92" s="7">
        <f t="shared" si="126"/>
        <v>9.0520181040362069E-3</v>
      </c>
      <c r="E92" s="7">
        <f t="shared" si="126"/>
        <v>9.0830181660363305E-3</v>
      </c>
      <c r="F92" s="7">
        <f t="shared" ref="F92:G92" si="131" xml:space="preserve"> (F41-F5)/32.258</f>
        <v>3.999007998015996E-3</v>
      </c>
      <c r="G92" s="7">
        <f t="shared" si="131"/>
        <v>4.2160084320168644E-3</v>
      </c>
      <c r="H92" s="7"/>
      <c r="I92" s="7">
        <f t="shared" ref="I92" si="132" xml:space="preserve"> (I41-I5)/32.258</f>
        <v>4.5570091140182262E-3</v>
      </c>
      <c r="J92" s="7">
        <f t="shared" ref="J92:M92" si="133" xml:space="preserve"> (J41-J5)/32.258</f>
        <v>4.5880091760183506E-3</v>
      </c>
      <c r="K92" s="7">
        <f t="shared" si="133"/>
        <v>4.0920081840163675E-3</v>
      </c>
      <c r="L92" s="7">
        <f t="shared" si="133"/>
        <v>4.1850083700167382E-3</v>
      </c>
      <c r="M92" s="7">
        <f t="shared" si="133"/>
        <v>3.937007874015748E-3</v>
      </c>
      <c r="O92" s="7">
        <f t="shared" ref="O92:R92" si="134" xml:space="preserve"> (O41-O5)/32.258</f>
        <v>3.5030070060140116E-3</v>
      </c>
      <c r="P92" s="7">
        <f t="shared" si="134"/>
        <v>3.937007874015748E-3</v>
      </c>
      <c r="Q92" s="7">
        <f t="shared" si="134"/>
        <v>3.1620063240126489E-3</v>
      </c>
      <c r="R92" s="7">
        <f t="shared" si="134"/>
        <v>3.7510075020150036E-3</v>
      </c>
    </row>
    <row r="93" spans="1:18" x14ac:dyDescent="0.2">
      <c r="A93" s="4">
        <v>3</v>
      </c>
      <c r="B93" s="5">
        <v>60</v>
      </c>
      <c r="C93" s="7">
        <f t="shared" si="126"/>
        <v>5.4250108500216989E-3</v>
      </c>
      <c r="D93" s="7">
        <f t="shared" si="126"/>
        <v>9.9200198400396788E-3</v>
      </c>
      <c r="E93" s="7">
        <f t="shared" si="126"/>
        <v>9.8890197780395553E-3</v>
      </c>
      <c r="F93" s="7">
        <f t="shared" ref="F93:G93" si="135" xml:space="preserve"> (F42-F6)/32.258</f>
        <v>4.2470084940169879E-3</v>
      </c>
      <c r="G93" s="7">
        <f t="shared" si="135"/>
        <v>3.6580073160146316E-3</v>
      </c>
      <c r="H93" s="7"/>
      <c r="I93" s="7">
        <f t="shared" ref="I93" si="136" xml:space="preserve"> (I42-I6)/32.258</f>
        <v>4.681009362018723E-3</v>
      </c>
      <c r="J93" s="7">
        <f t="shared" ref="J93:M93" si="137" xml:space="preserve"> (J42-J6)/32.258</f>
        <v>4.743009486018971E-3</v>
      </c>
      <c r="K93" s="7">
        <f t="shared" si="137"/>
        <v>3.937007874015748E-3</v>
      </c>
      <c r="L93" s="7">
        <f t="shared" si="137"/>
        <v>3.6890073780147556E-3</v>
      </c>
      <c r="M93" s="7">
        <f t="shared" si="137"/>
        <v>3.6890073780147556E-3</v>
      </c>
      <c r="O93" s="7">
        <f t="shared" ref="O93:R93" si="138" xml:space="preserve"> (O42-O6)/32.258</f>
        <v>4.061008122016244E-3</v>
      </c>
      <c r="P93" s="7">
        <f t="shared" si="138"/>
        <v>3.6890073780147556E-3</v>
      </c>
      <c r="Q93" s="7">
        <f t="shared" si="138"/>
        <v>3.1620063240126489E-3</v>
      </c>
      <c r="R93" s="7">
        <f t="shared" si="138"/>
        <v>3.9060078120156235E-3</v>
      </c>
    </row>
    <row r="94" spans="1:18" x14ac:dyDescent="0.2">
      <c r="A94" s="4">
        <v>4</v>
      </c>
      <c r="B94" s="5">
        <v>60</v>
      </c>
      <c r="C94" s="7">
        <f t="shared" si="126"/>
        <v>4.8360096720193426E-3</v>
      </c>
      <c r="D94" s="7">
        <f t="shared" si="126"/>
        <v>6.0450120900241797E-3</v>
      </c>
      <c r="E94" s="7">
        <f t="shared" si="126"/>
        <v>9.7650195300390593E-3</v>
      </c>
      <c r="F94" s="7">
        <f t="shared" ref="F94:G94" si="139" xml:space="preserve"> (F43-F7)/32.258</f>
        <v>4.4330088660177302E-3</v>
      </c>
      <c r="G94" s="7">
        <f t="shared" si="139"/>
        <v>3.9060078120156235E-3</v>
      </c>
      <c r="H94" s="7"/>
      <c r="I94" s="7">
        <f t="shared" ref="I94" si="140" xml:space="preserve"> (I43-I7)/32.258</f>
        <v>4.681009362018723E-3</v>
      </c>
      <c r="J94" s="7">
        <f t="shared" ref="J94:M94" si="141" xml:space="preserve"> (J43-J7)/32.258</f>
        <v>4.3710087420174822E-3</v>
      </c>
      <c r="K94" s="7">
        <f t="shared" si="141"/>
        <v>3.9680079360158715E-3</v>
      </c>
      <c r="L94" s="7">
        <f t="shared" si="141"/>
        <v>4.1540083080166155E-3</v>
      </c>
      <c r="M94" s="7">
        <f t="shared" si="141"/>
        <v>3.937007874015748E-3</v>
      </c>
      <c r="O94" s="7">
        <f t="shared" ref="O94:R94" si="142" xml:space="preserve"> (O43-O7)/32.258</f>
        <v>4.0920081840163675E-3</v>
      </c>
      <c r="P94" s="7">
        <f t="shared" si="142"/>
        <v>3.7820075640151276E-3</v>
      </c>
      <c r="Q94" s="7">
        <f t="shared" si="142"/>
        <v>3.1620063240126489E-3</v>
      </c>
      <c r="R94" s="7">
        <f t="shared" si="142"/>
        <v>3.8750077500154996E-3</v>
      </c>
    </row>
    <row r="95" spans="1:18" x14ac:dyDescent="0.2">
      <c r="A95" s="4">
        <v>5</v>
      </c>
      <c r="B95" s="5">
        <v>60</v>
      </c>
      <c r="C95" s="7">
        <f t="shared" si="126"/>
        <v>5.5180110360220714E-3</v>
      </c>
      <c r="D95" s="7">
        <f t="shared" si="126"/>
        <v>8.4940169880339741E-3</v>
      </c>
      <c r="E95" s="7">
        <f t="shared" si="126"/>
        <v>9.2690185380370754E-3</v>
      </c>
      <c r="F95" s="7">
        <f t="shared" ref="F95:G95" si="143" xml:space="preserve"> (F44-F8)/32.258</f>
        <v>4.4950089900179782E-3</v>
      </c>
      <c r="G95" s="7">
        <f t="shared" si="143"/>
        <v>3.8750077500154996E-3</v>
      </c>
      <c r="H95" s="7"/>
      <c r="I95" s="7">
        <f t="shared" ref="I95" si="144" xml:space="preserve"> (I44-I8)/32.258</f>
        <v>4.3710087420174822E-3</v>
      </c>
      <c r="J95" s="7">
        <f t="shared" ref="J95:M95" si="145" xml:space="preserve"> (J44-J8)/32.258</f>
        <v>4.0300080600161195E-3</v>
      </c>
      <c r="K95" s="7">
        <f t="shared" si="145"/>
        <v>3.937007874015748E-3</v>
      </c>
      <c r="L95" s="7">
        <f t="shared" si="145"/>
        <v>3.6890073780147556E-3</v>
      </c>
      <c r="M95" s="7">
        <f t="shared" si="145"/>
        <v>3.937007874015748E-3</v>
      </c>
      <c r="O95" s="7">
        <f t="shared" ref="O95:R95" si="146" xml:space="preserve"> (O44-O8)/32.258</f>
        <v>4.7120094240188466E-3</v>
      </c>
      <c r="P95" s="7">
        <f t="shared" si="146"/>
        <v>3.9060078120156218E-3</v>
      </c>
      <c r="Q95" s="7">
        <f t="shared" si="146"/>
        <v>3.2860065720131432E-3</v>
      </c>
      <c r="R95" s="7">
        <f t="shared" si="146"/>
        <v>3.7510075020150036E-3</v>
      </c>
    </row>
    <row r="96" spans="1:18" x14ac:dyDescent="0.2">
      <c r="A96" s="4"/>
      <c r="B96" s="5"/>
      <c r="C96" s="7"/>
      <c r="D96" s="7"/>
      <c r="E96" s="7"/>
      <c r="F96" s="7"/>
      <c r="G96" s="7"/>
      <c r="H96" s="7"/>
      <c r="M96" s="7"/>
      <c r="R96" s="7"/>
    </row>
    <row r="97" spans="1:18" x14ac:dyDescent="0.2">
      <c r="A97" s="4"/>
      <c r="B97" s="5"/>
      <c r="C97" s="7"/>
      <c r="D97" s="7"/>
      <c r="E97" s="7"/>
      <c r="F97" s="7"/>
      <c r="G97" s="7"/>
      <c r="H97" s="7"/>
      <c r="R97" s="7"/>
    </row>
    <row r="98" spans="1:18" x14ac:dyDescent="0.2">
      <c r="A98" s="4"/>
      <c r="B98" s="5"/>
      <c r="C98" s="7"/>
      <c r="D98" s="7"/>
      <c r="E98" s="7"/>
      <c r="F98" s="7"/>
      <c r="G98" s="7"/>
      <c r="H98" s="7"/>
      <c r="R98" s="7"/>
    </row>
    <row r="99" spans="1:18" x14ac:dyDescent="0.2">
      <c r="A99" s="4"/>
      <c r="B99" s="5"/>
      <c r="C99" s="7"/>
      <c r="D99" s="7"/>
      <c r="E99" s="7"/>
      <c r="F99" s="7"/>
      <c r="G99" s="7"/>
      <c r="H99" s="7"/>
      <c r="R99" s="7"/>
    </row>
    <row r="100" spans="1:18" x14ac:dyDescent="0.2">
      <c r="A100" s="4"/>
      <c r="B100" s="5"/>
      <c r="C100" s="7"/>
      <c r="D100" s="7"/>
      <c r="E100" s="7"/>
      <c r="F100" s="7"/>
      <c r="G100" s="7"/>
      <c r="H100" s="7"/>
      <c r="R100" s="7"/>
    </row>
    <row r="101" spans="1:18" x14ac:dyDescent="0.2">
      <c r="A101" s="4"/>
      <c r="B101" s="5"/>
      <c r="C101" s="7"/>
      <c r="D101" s="7"/>
      <c r="E101" s="7"/>
      <c r="F101" s="7"/>
      <c r="G101" s="7"/>
      <c r="H101" s="7"/>
      <c r="R101" s="7"/>
    </row>
    <row r="102" spans="1:18" x14ac:dyDescent="0.2">
      <c r="A102" s="4"/>
      <c r="B102" s="5"/>
      <c r="C102" s="5"/>
      <c r="D102" s="5"/>
      <c r="E102" s="5"/>
      <c r="F102" s="5"/>
      <c r="G102" s="4"/>
      <c r="H102" s="4"/>
      <c r="R102" s="5"/>
    </row>
    <row r="103" spans="1:18" x14ac:dyDescent="0.2">
      <c r="A103" s="4"/>
      <c r="B103" s="5"/>
      <c r="C103" s="5"/>
      <c r="D103" s="5"/>
      <c r="E103" s="5"/>
      <c r="F103" s="5"/>
      <c r="G103" s="4"/>
      <c r="H103" s="4"/>
      <c r="R103" s="5"/>
    </row>
    <row r="104" spans="1:18" x14ac:dyDescent="0.2">
      <c r="A104" s="8" t="s">
        <v>13</v>
      </c>
      <c r="B104" s="8"/>
      <c r="C104" s="3"/>
      <c r="D104" s="3"/>
      <c r="E104" s="3"/>
      <c r="F104" s="2"/>
      <c r="G104" s="2"/>
      <c r="H104" s="2"/>
      <c r="R104" s="2"/>
    </row>
    <row r="105" spans="1:18" ht="51" x14ac:dyDescent="0.2">
      <c r="A105" s="2"/>
      <c r="B105" s="3" t="s">
        <v>2</v>
      </c>
      <c r="C105" s="3" t="s">
        <v>8</v>
      </c>
      <c r="D105" s="3" t="s">
        <v>9</v>
      </c>
      <c r="E105" s="3" t="s">
        <v>10</v>
      </c>
      <c r="F105" s="3" t="s">
        <v>31</v>
      </c>
      <c r="G105" s="3" t="s">
        <v>32</v>
      </c>
      <c r="H105" s="3"/>
      <c r="I105" s="3" t="s">
        <v>10</v>
      </c>
      <c r="J105" s="3" t="s">
        <v>35</v>
      </c>
      <c r="K105" s="3" t="s">
        <v>31</v>
      </c>
      <c r="L105" s="3" t="s">
        <v>36</v>
      </c>
      <c r="M105" s="3" t="s">
        <v>32</v>
      </c>
      <c r="O105" s="3" t="s">
        <v>28</v>
      </c>
      <c r="P105" s="3" t="s">
        <v>23</v>
      </c>
      <c r="Q105" s="3" t="s">
        <v>24</v>
      </c>
      <c r="R105" s="3" t="s">
        <v>11</v>
      </c>
    </row>
    <row r="106" spans="1:18" x14ac:dyDescent="0.2">
      <c r="A106" s="4"/>
      <c r="B106" s="5">
        <v>0</v>
      </c>
      <c r="C106" s="12">
        <f t="shared" ref="C106:G106" si="147" xml:space="preserve"> AVERAGE(C55:C59)*10000</f>
        <v>0</v>
      </c>
      <c r="D106" s="12">
        <f t="shared" si="147"/>
        <v>0</v>
      </c>
      <c r="E106" s="12">
        <f t="shared" si="147"/>
        <v>0</v>
      </c>
      <c r="F106" s="12">
        <f t="shared" si="147"/>
        <v>0</v>
      </c>
      <c r="G106" s="12">
        <f t="shared" si="147"/>
        <v>0</v>
      </c>
      <c r="H106" s="12"/>
      <c r="I106" s="12">
        <f t="shared" ref="I106:M106" si="148" xml:space="preserve"> AVERAGE(I55:I59)*10000</f>
        <v>0</v>
      </c>
      <c r="J106" s="12">
        <f t="shared" si="148"/>
        <v>0</v>
      </c>
      <c r="K106" s="12">
        <f t="shared" si="148"/>
        <v>0</v>
      </c>
      <c r="L106" s="12">
        <f t="shared" si="148"/>
        <v>0</v>
      </c>
      <c r="M106" s="12">
        <f t="shared" si="148"/>
        <v>0</v>
      </c>
      <c r="O106" s="12">
        <f t="shared" ref="O106:Q106" si="149" xml:space="preserve"> AVERAGE(O55:O59)*10000</f>
        <v>0</v>
      </c>
      <c r="P106" s="12">
        <f t="shared" si="149"/>
        <v>0</v>
      </c>
      <c r="Q106" s="12">
        <f t="shared" si="149"/>
        <v>0</v>
      </c>
      <c r="R106" s="12">
        <f t="shared" ref="R106" si="150" xml:space="preserve"> AVERAGE(R55:R59)*10000</f>
        <v>0</v>
      </c>
    </row>
    <row r="107" spans="1:18" x14ac:dyDescent="0.2">
      <c r="A107" s="4"/>
      <c r="B107" s="5">
        <v>10</v>
      </c>
      <c r="C107" s="12">
        <f t="shared" ref="C107:G107" si="151" xml:space="preserve"> AVERAGE(C61:C65)*10000</f>
        <v>37.634075268150532</v>
      </c>
      <c r="D107" s="12">
        <f t="shared" si="151"/>
        <v>56.978113956227901</v>
      </c>
      <c r="E107" s="12">
        <f t="shared" si="151"/>
        <v>78.554157108314229</v>
      </c>
      <c r="F107" s="12">
        <f t="shared" si="151"/>
        <v>36.952073904147809</v>
      </c>
      <c r="G107" s="12">
        <f t="shared" si="151"/>
        <v>34.28606857213714</v>
      </c>
      <c r="H107" s="12"/>
      <c r="I107" s="12">
        <f t="shared" ref="I107:M107" si="152" xml:space="preserve"> AVERAGE(I61:I65)*10000</f>
        <v>37.014074028148045</v>
      </c>
      <c r="J107" s="12">
        <f t="shared" si="152"/>
        <v>37.944075888151779</v>
      </c>
      <c r="K107" s="12">
        <f t="shared" si="152"/>
        <v>33.666067332134659</v>
      </c>
      <c r="L107" s="12">
        <f t="shared" si="152"/>
        <v>34.22406844813689</v>
      </c>
      <c r="M107" s="12">
        <f t="shared" si="152"/>
        <v>33.852067704135401</v>
      </c>
      <c r="O107" s="12">
        <f t="shared" ref="O107:Q107" si="153" xml:space="preserve"> AVERAGE(O61:O65)*10000</f>
        <v>29.07805815611631</v>
      </c>
      <c r="P107" s="12">
        <f t="shared" si="153"/>
        <v>27.714055428110846</v>
      </c>
      <c r="Q107" s="12">
        <f t="shared" si="153"/>
        <v>26.16405232810466</v>
      </c>
      <c r="R107" s="12">
        <f t="shared" ref="R107" si="154" xml:space="preserve"> AVERAGE(R61:R65)*10000</f>
        <v>20.894041788083573</v>
      </c>
    </row>
    <row r="108" spans="1:18" x14ac:dyDescent="0.2">
      <c r="A108" s="4"/>
      <c r="B108" s="5">
        <v>20</v>
      </c>
      <c r="C108" s="12">
        <f t="shared" ref="C108:G108" si="155" xml:space="preserve"> AVERAGE(C67:C71)*10000</f>
        <v>41.540083080166156</v>
      </c>
      <c r="D108" s="12">
        <f t="shared" si="155"/>
        <v>67.270134540269083</v>
      </c>
      <c r="E108" s="12">
        <f t="shared" si="155"/>
        <v>84.940169880339752</v>
      </c>
      <c r="F108" s="12">
        <f t="shared" si="155"/>
        <v>39.122078244156484</v>
      </c>
      <c r="G108" s="12">
        <f t="shared" si="155"/>
        <v>36.084072168144331</v>
      </c>
      <c r="H108" s="12"/>
      <c r="I108" s="12">
        <f t="shared" ref="I108:M108" si="156" xml:space="preserve"> AVERAGE(I67:I71)*10000</f>
        <v>39.370078740157481</v>
      </c>
      <c r="J108" s="12">
        <f t="shared" si="156"/>
        <v>40.176080352160703</v>
      </c>
      <c r="K108" s="12">
        <f t="shared" si="156"/>
        <v>35.898071796143583</v>
      </c>
      <c r="L108" s="12">
        <f t="shared" si="156"/>
        <v>36.642073284146569</v>
      </c>
      <c r="M108" s="12">
        <f t="shared" si="156"/>
        <v>36.022072044144089</v>
      </c>
      <c r="O108" s="12">
        <f t="shared" ref="O108:Q108" si="157" xml:space="preserve"> AVERAGE(O67:O71)*10000</f>
        <v>37.324074648149299</v>
      </c>
      <c r="P108" s="12">
        <f t="shared" si="157"/>
        <v>33.046066092132186</v>
      </c>
      <c r="Q108" s="12">
        <f t="shared" si="157"/>
        <v>31.062062124124257</v>
      </c>
      <c r="R108" s="12">
        <f t="shared" ref="R108" si="158" xml:space="preserve"> AVERAGE(R67:R71)*10000</f>
        <v>31.868063736127464</v>
      </c>
    </row>
    <row r="109" spans="1:18" x14ac:dyDescent="0.2">
      <c r="A109" s="4"/>
      <c r="B109" s="5">
        <v>30</v>
      </c>
      <c r="C109" s="12">
        <f t="shared" ref="C109:G109" si="159" xml:space="preserve"> AVERAGE(C73:C77)*10000</f>
        <v>45.570091140182271</v>
      </c>
      <c r="D109" s="12">
        <f t="shared" si="159"/>
        <v>69.81213962427924</v>
      </c>
      <c r="E109" s="12">
        <f t="shared" si="159"/>
        <v>88.846177692355369</v>
      </c>
      <c r="F109" s="12">
        <f t="shared" si="159"/>
        <v>40.300080600161202</v>
      </c>
      <c r="G109" s="12">
        <f t="shared" si="159"/>
        <v>38.006076012152015</v>
      </c>
      <c r="H109" s="12"/>
      <c r="I109" s="12">
        <f t="shared" ref="I109:M109" si="160" xml:space="preserve"> AVERAGE(I73:I77)*10000</f>
        <v>41.416082832165664</v>
      </c>
      <c r="J109" s="12">
        <f t="shared" si="160"/>
        <v>41.540083080166148</v>
      </c>
      <c r="K109" s="12">
        <f t="shared" si="160"/>
        <v>37.076074152148301</v>
      </c>
      <c r="L109" s="12">
        <f t="shared" si="160"/>
        <v>37.262074524149043</v>
      </c>
      <c r="M109" s="12">
        <f t="shared" si="160"/>
        <v>37.51007502015004</v>
      </c>
      <c r="O109" s="12">
        <f t="shared" ref="O109:Q109" si="161" xml:space="preserve"> AVERAGE(O73:O77)*10000</f>
        <v>37.26207452414905</v>
      </c>
      <c r="P109" s="12">
        <f t="shared" si="161"/>
        <v>35.464070928141851</v>
      </c>
      <c r="Q109" s="12">
        <f t="shared" si="161"/>
        <v>31.496062992125992</v>
      </c>
      <c r="R109" s="12">
        <f t="shared" ref="R109" si="162" xml:space="preserve"> AVERAGE(R73:R77)*10000</f>
        <v>35.836071672143341</v>
      </c>
    </row>
    <row r="110" spans="1:18" x14ac:dyDescent="0.2">
      <c r="A110" s="4"/>
      <c r="B110" s="5">
        <v>40</v>
      </c>
      <c r="C110" s="12">
        <f t="shared" ref="C110:G110" si="163" xml:space="preserve"> AVERAGE(C79:C83)*10000</f>
        <v>46.872093744187481</v>
      </c>
      <c r="D110" s="12">
        <f t="shared" si="163"/>
        <v>74.896149792299582</v>
      </c>
      <c r="E110" s="12">
        <f t="shared" si="163"/>
        <v>91.326182652365276</v>
      </c>
      <c r="F110" s="12">
        <f t="shared" si="163"/>
        <v>39.86607973215947</v>
      </c>
      <c r="G110" s="12">
        <f t="shared" si="163"/>
        <v>38.936077872155742</v>
      </c>
      <c r="H110" s="12"/>
      <c r="I110" s="12">
        <f t="shared" ref="I110:M110" si="164" xml:space="preserve"> AVERAGE(I79:I83)*10000</f>
        <v>43.71008742017483</v>
      </c>
      <c r="J110" s="12">
        <f t="shared" si="164"/>
        <v>42.594085188170361</v>
      </c>
      <c r="K110" s="12">
        <f t="shared" si="164"/>
        <v>39.122078244156498</v>
      </c>
      <c r="L110" s="12">
        <f t="shared" si="164"/>
        <v>38.502077004153996</v>
      </c>
      <c r="M110" s="12">
        <f t="shared" si="164"/>
        <v>38.068076136152271</v>
      </c>
      <c r="O110" s="12">
        <f t="shared" ref="O110:Q110" si="165" xml:space="preserve"> AVERAGE(O79:O83)*10000</f>
        <v>38.564077128154253</v>
      </c>
      <c r="P110" s="12">
        <f t="shared" si="165"/>
        <v>37.324074648149299</v>
      </c>
      <c r="Q110" s="12">
        <f t="shared" si="165"/>
        <v>32.054064108128223</v>
      </c>
      <c r="R110" s="12">
        <f t="shared" ref="R110" si="166" xml:space="preserve"> AVERAGE(R79:R83)*10000</f>
        <v>36.952073904147802</v>
      </c>
    </row>
    <row r="111" spans="1:18" x14ac:dyDescent="0.2">
      <c r="A111" s="4"/>
      <c r="B111" s="5">
        <v>50</v>
      </c>
      <c r="C111" s="12">
        <f t="shared" ref="C111:G111" si="167" xml:space="preserve"> AVERAGE(C85:C89)*10000</f>
        <v>49.662099324198635</v>
      </c>
      <c r="D111" s="12">
        <f t="shared" si="167"/>
        <v>77.624155248310487</v>
      </c>
      <c r="E111" s="12">
        <f t="shared" si="167"/>
        <v>92.752185504370999</v>
      </c>
      <c r="F111" s="12">
        <f t="shared" si="167"/>
        <v>41.540083080166156</v>
      </c>
      <c r="G111" s="12">
        <f t="shared" si="167"/>
        <v>38.378076756153511</v>
      </c>
      <c r="H111" s="12"/>
      <c r="I111" s="12">
        <f t="shared" ref="I111:M111" si="168" xml:space="preserve"> AVERAGE(I85:I89)*10000</f>
        <v>43.958087916175835</v>
      </c>
      <c r="J111" s="12">
        <f t="shared" si="168"/>
        <v>44.702089404178807</v>
      </c>
      <c r="K111" s="12">
        <f t="shared" si="168"/>
        <v>39.742079484158964</v>
      </c>
      <c r="L111" s="12">
        <f t="shared" si="168"/>
        <v>39.742079484158957</v>
      </c>
      <c r="M111" s="12">
        <f t="shared" si="168"/>
        <v>38.688077376154752</v>
      </c>
      <c r="O111" s="12">
        <f t="shared" ref="O111:Q111" si="169" xml:space="preserve"> AVERAGE(O85:O89)*10000</f>
        <v>39.556079112158223</v>
      </c>
      <c r="P111" s="12">
        <f t="shared" si="169"/>
        <v>37.26207452414905</v>
      </c>
      <c r="Q111" s="12">
        <f t="shared" si="169"/>
        <v>32.178064356128715</v>
      </c>
      <c r="R111" s="12">
        <f t="shared" ref="R111" si="170" xml:space="preserve"> AVERAGE(R85:R89)*10000</f>
        <v>37.882075764151523</v>
      </c>
    </row>
    <row r="112" spans="1:18" x14ac:dyDescent="0.2">
      <c r="A112" s="4"/>
      <c r="B112" s="5">
        <v>60</v>
      </c>
      <c r="C112" s="12">
        <f t="shared" ref="C112:G112" si="171" xml:space="preserve"> AVERAGE(C91:C95)*10000</f>
        <v>51.77010354020706</v>
      </c>
      <c r="D112" s="12">
        <f t="shared" si="171"/>
        <v>81.158162316324606</v>
      </c>
      <c r="E112" s="12">
        <f t="shared" si="171"/>
        <v>96.472192944385881</v>
      </c>
      <c r="F112" s="12">
        <f t="shared" si="171"/>
        <v>43.0280860561721</v>
      </c>
      <c r="G112" s="12">
        <f t="shared" si="171"/>
        <v>39.18407836815674</v>
      </c>
      <c r="H112" s="12"/>
      <c r="I112" s="12">
        <f t="shared" ref="I112:M112" si="172" xml:space="preserve"> AVERAGE(I91:I95)*10000</f>
        <v>45.136090272180532</v>
      </c>
      <c r="J112" s="12">
        <f t="shared" si="172"/>
        <v>45.136090272180532</v>
      </c>
      <c r="K112" s="12">
        <f t="shared" si="172"/>
        <v>39.494078988157973</v>
      </c>
      <c r="L112" s="12">
        <f t="shared" si="172"/>
        <v>39.86607973215947</v>
      </c>
      <c r="M112" s="12">
        <f t="shared" si="172"/>
        <v>38.936077872155742</v>
      </c>
      <c r="O112" s="12">
        <f t="shared" ref="O112:Q112" si="173" xml:space="preserve"> AVERAGE(O91:O95)*10000</f>
        <v>40.362080724161437</v>
      </c>
      <c r="P112" s="12">
        <f t="shared" si="173"/>
        <v>37.882075764151523</v>
      </c>
      <c r="Q112" s="12">
        <f t="shared" si="173"/>
        <v>32.550065100130205</v>
      </c>
      <c r="R112" s="12">
        <f t="shared" ref="R112" si="174" xml:space="preserve"> AVERAGE(R91:R95)*10000</f>
        <v>38.130076260152514</v>
      </c>
    </row>
    <row r="113" spans="1:18" x14ac:dyDescent="0.2">
      <c r="A113" s="4"/>
      <c r="B113" s="5"/>
      <c r="C113" s="12"/>
      <c r="D113" s="12"/>
      <c r="E113" s="7"/>
      <c r="F113" s="7"/>
      <c r="G113" s="7"/>
      <c r="H113" s="7"/>
      <c r="R113" s="7"/>
    </row>
    <row r="114" spans="1:18" x14ac:dyDescent="0.2">
      <c r="A114" s="4"/>
      <c r="B114" s="5"/>
      <c r="C114" s="7"/>
      <c r="D114" s="7"/>
      <c r="E114" s="7"/>
      <c r="F114" s="7"/>
      <c r="G114" s="7"/>
      <c r="H114" s="7"/>
      <c r="R114" s="7"/>
    </row>
    <row r="115" spans="1:18" x14ac:dyDescent="0.2">
      <c r="A115" s="4"/>
      <c r="B115" s="5"/>
      <c r="C115" s="7"/>
      <c r="D115" s="7"/>
      <c r="E115" s="7"/>
      <c r="F115" s="7"/>
      <c r="G115" s="4"/>
      <c r="H115" s="4"/>
      <c r="R115" s="7"/>
    </row>
    <row r="116" spans="1:18" x14ac:dyDescent="0.2">
      <c r="A116" s="8" t="s">
        <v>14</v>
      </c>
      <c r="B116" s="8"/>
      <c r="C116" s="9"/>
      <c r="D116" s="9"/>
      <c r="E116" s="9"/>
      <c r="F116" s="13"/>
      <c r="G116" s="2"/>
      <c r="H116" s="2"/>
      <c r="R116" s="13"/>
    </row>
    <row r="117" spans="1:18" ht="51" x14ac:dyDescent="0.2">
      <c r="A117" s="2"/>
      <c r="B117" s="3" t="s">
        <v>2</v>
      </c>
      <c r="C117" s="3" t="s">
        <v>8</v>
      </c>
      <c r="D117" s="3" t="s">
        <v>9</v>
      </c>
      <c r="E117" s="3" t="s">
        <v>10</v>
      </c>
      <c r="F117" s="3" t="s">
        <v>31</v>
      </c>
      <c r="G117" s="3" t="s">
        <v>32</v>
      </c>
      <c r="H117" s="3"/>
      <c r="I117" s="3" t="s">
        <v>10</v>
      </c>
      <c r="J117" s="3" t="s">
        <v>35</v>
      </c>
      <c r="K117" s="3" t="s">
        <v>31</v>
      </c>
      <c r="L117" s="3" t="s">
        <v>36</v>
      </c>
      <c r="M117" s="3" t="s">
        <v>32</v>
      </c>
      <c r="O117" s="3" t="s">
        <v>28</v>
      </c>
      <c r="P117" s="3" t="s">
        <v>23</v>
      </c>
      <c r="Q117" s="3" t="s">
        <v>24</v>
      </c>
      <c r="R117" s="3" t="s">
        <v>11</v>
      </c>
    </row>
    <row r="118" spans="1:18" x14ac:dyDescent="0.2">
      <c r="A118" s="4"/>
      <c r="B118" s="5">
        <v>0</v>
      </c>
      <c r="C118" s="14">
        <f t="shared" ref="C118:G118" si="175" xml:space="preserve"> STDEV(C55:C59)*10000</f>
        <v>0</v>
      </c>
      <c r="D118" s="14">
        <f t="shared" si="175"/>
        <v>0</v>
      </c>
      <c r="E118" s="14">
        <f t="shared" si="175"/>
        <v>0</v>
      </c>
      <c r="F118" s="14">
        <f t="shared" si="175"/>
        <v>0</v>
      </c>
      <c r="G118" s="14">
        <f t="shared" si="175"/>
        <v>0</v>
      </c>
      <c r="H118" s="14"/>
      <c r="I118" s="14">
        <f t="shared" ref="I118:M118" si="176" xml:space="preserve"> STDEV(I55:I59)*10000</f>
        <v>0</v>
      </c>
      <c r="J118" s="14">
        <f t="shared" si="176"/>
        <v>0</v>
      </c>
      <c r="K118" s="14">
        <f t="shared" si="176"/>
        <v>0</v>
      </c>
      <c r="L118" s="14">
        <f t="shared" si="176"/>
        <v>0</v>
      </c>
      <c r="M118" s="14">
        <f t="shared" si="176"/>
        <v>0</v>
      </c>
      <c r="O118" s="14">
        <f t="shared" ref="O118" si="177" xml:space="preserve"> STDEV(O55:O59)*10000</f>
        <v>0</v>
      </c>
      <c r="P118" s="14">
        <f t="shared" ref="P118:R118" si="178" xml:space="preserve"> STDEV(P55:P59)*10000</f>
        <v>0</v>
      </c>
      <c r="Q118" s="14">
        <f t="shared" ref="Q118" si="179" xml:space="preserve"> STDEV(Q55:Q59)*10000</f>
        <v>0</v>
      </c>
      <c r="R118" s="14">
        <f t="shared" si="178"/>
        <v>0</v>
      </c>
    </row>
    <row r="119" spans="1:18" x14ac:dyDescent="0.2">
      <c r="A119" s="4"/>
      <c r="B119" s="5">
        <v>10</v>
      </c>
      <c r="C119" s="14">
        <f t="shared" ref="C119:G119" si="180" xml:space="preserve"> STDEV(C61:C65)*10000</f>
        <v>1.3967239538804401</v>
      </c>
      <c r="D119" s="14">
        <f t="shared" si="180"/>
        <v>18.977760948547164</v>
      </c>
      <c r="E119" s="14">
        <f t="shared" si="180"/>
        <v>15.235198011319223</v>
      </c>
      <c r="F119" s="14">
        <f t="shared" si="180"/>
        <v>1.9284929028452833</v>
      </c>
      <c r="G119" s="14">
        <f t="shared" si="180"/>
        <v>1.3441306583594044</v>
      </c>
      <c r="H119" s="14"/>
      <c r="I119" s="14">
        <f t="shared" ref="I119:M119" si="181" xml:space="preserve"> STDEV(I61:I65)*10000</f>
        <v>1.4138203547636405</v>
      </c>
      <c r="J119" s="14">
        <f t="shared" si="181"/>
        <v>1.8022743944136193</v>
      </c>
      <c r="K119" s="14">
        <f t="shared" si="181"/>
        <v>1.0648871000878966</v>
      </c>
      <c r="L119" s="14">
        <f t="shared" si="181"/>
        <v>1.7204336196306804</v>
      </c>
      <c r="M119" s="14">
        <f t="shared" si="181"/>
        <v>1.4769829809128416</v>
      </c>
      <c r="O119" s="14">
        <f t="shared" ref="O119" si="182" xml:space="preserve"> STDEV(O61:O65)*10000</f>
        <v>1.915994437393824</v>
      </c>
      <c r="P119" s="14">
        <f t="shared" ref="P119:R119" si="183" xml:space="preserve"> STDEV(P61:P65)*10000</f>
        <v>1.1305463778789995</v>
      </c>
      <c r="Q119" s="14">
        <f t="shared" ref="Q119" si="184" xml:space="preserve"> STDEV(Q61:Q65)*10000</f>
        <v>0.80838271501056036</v>
      </c>
      <c r="R119" s="14">
        <f t="shared" si="183"/>
        <v>0.99490399503262716</v>
      </c>
    </row>
    <row r="120" spans="1:18" x14ac:dyDescent="0.2">
      <c r="A120" s="4"/>
      <c r="B120" s="5">
        <v>20</v>
      </c>
      <c r="C120" s="14">
        <f t="shared" ref="C120:G120" si="185" xml:space="preserve"> STDEV(C67:C71)*10000</f>
        <v>1.9849724835491451</v>
      </c>
      <c r="D120" s="14">
        <f t="shared" si="185"/>
        <v>19.59390302320104</v>
      </c>
      <c r="E120" s="14">
        <f t="shared" si="185"/>
        <v>11.303338491849789</v>
      </c>
      <c r="F120" s="14">
        <f t="shared" si="185"/>
        <v>1.7176384372490627</v>
      </c>
      <c r="G120" s="14">
        <f t="shared" si="185"/>
        <v>1.5592753847057232</v>
      </c>
      <c r="H120" s="14"/>
      <c r="I120" s="14">
        <f t="shared" ref="I120:M120" si="186" xml:space="preserve"> STDEV(I67:I71)*10000</f>
        <v>1.4374137416293178</v>
      </c>
      <c r="J120" s="14">
        <f t="shared" si="186"/>
        <v>2.2738075294056919</v>
      </c>
      <c r="K120" s="14">
        <f t="shared" si="186"/>
        <v>1.2283224475267509</v>
      </c>
      <c r="L120" s="14">
        <f t="shared" si="186"/>
        <v>2.2716933424962829</v>
      </c>
      <c r="M120" s="14">
        <f t="shared" si="186"/>
        <v>1.1474211372882228</v>
      </c>
      <c r="O120" s="14">
        <f t="shared" ref="O120" si="187" xml:space="preserve"> STDEV(O67:O71)*10000</f>
        <v>2.1320291232003692</v>
      </c>
      <c r="P120" s="14">
        <f t="shared" ref="P120:R120" si="188" xml:space="preserve"> STDEV(P67:P71)*10000</f>
        <v>2.2418853905095912</v>
      </c>
      <c r="Q120" s="14">
        <f t="shared" ref="Q120" si="189" xml:space="preserve"> STDEV(Q67:Q71)*10000</f>
        <v>1.8261115351259403</v>
      </c>
      <c r="R120" s="14">
        <f t="shared" si="188"/>
        <v>1.9159944373938191</v>
      </c>
    </row>
    <row r="121" spans="1:18" x14ac:dyDescent="0.2">
      <c r="A121" s="4"/>
      <c r="B121" s="5">
        <v>30</v>
      </c>
      <c r="C121" s="14">
        <f t="shared" ref="C121:G121" si="190" xml:space="preserve"> STDEV(C73:C77)*10000</f>
        <v>2.2990261290519123</v>
      </c>
      <c r="D121" s="14">
        <f t="shared" si="190"/>
        <v>20.029734765081002</v>
      </c>
      <c r="E121" s="14">
        <f t="shared" si="190"/>
        <v>7.7766298551265676</v>
      </c>
      <c r="F121" s="14">
        <f t="shared" si="190"/>
        <v>1.5958258635047129</v>
      </c>
      <c r="G121" s="14">
        <f t="shared" si="190"/>
        <v>0.893103124241302</v>
      </c>
      <c r="H121" s="14"/>
      <c r="I121" s="14">
        <f t="shared" ref="I121:M121" si="191" xml:space="preserve"> STDEV(I73:I77)*10000</f>
        <v>1.2706244362278634</v>
      </c>
      <c r="J121" s="14">
        <f t="shared" si="191"/>
        <v>2.5843716288258776</v>
      </c>
      <c r="K121" s="14">
        <f t="shared" si="191"/>
        <v>1.042081735629711</v>
      </c>
      <c r="L121" s="14">
        <f t="shared" si="191"/>
        <v>2.6431984310610979</v>
      </c>
      <c r="M121" s="14">
        <f t="shared" si="191"/>
        <v>0.49015401763413396</v>
      </c>
      <c r="O121" s="14">
        <f t="shared" ref="O121" si="192" xml:space="preserve"> STDEV(O73:O77)*10000</f>
        <v>3.1946613002636881</v>
      </c>
      <c r="P121" s="14">
        <f t="shared" ref="P121:R121" si="193" xml:space="preserve"> STDEV(P73:P77)*10000</f>
        <v>1.8548298470644942</v>
      </c>
      <c r="Q121" s="14">
        <f t="shared" ref="Q121" si="194" xml:space="preserve"> STDEV(Q73:Q77)*10000</f>
        <v>2.5992031516218685</v>
      </c>
      <c r="R121" s="14">
        <f t="shared" si="193"/>
        <v>1.5897924737997517</v>
      </c>
    </row>
    <row r="122" spans="1:18" x14ac:dyDescent="0.2">
      <c r="A122" s="4"/>
      <c r="B122" s="5">
        <v>40</v>
      </c>
      <c r="C122" s="14">
        <f t="shared" ref="C122:G122" si="195" xml:space="preserve"> STDEV(C79:C83)*10000</f>
        <v>2.8530163965139881</v>
      </c>
      <c r="D122" s="14">
        <f t="shared" si="195"/>
        <v>18.670429141782012</v>
      </c>
      <c r="E122" s="14">
        <f t="shared" si="195"/>
        <v>6.140047296281395</v>
      </c>
      <c r="F122" s="14">
        <f t="shared" si="195"/>
        <v>2.1207305321454637</v>
      </c>
      <c r="G122" s="14">
        <f t="shared" si="195"/>
        <v>1.9309828882630589</v>
      </c>
      <c r="H122" s="14"/>
      <c r="I122" s="14">
        <f t="shared" ref="I122:M122" si="196" xml:space="preserve"> STDEV(I79:I83)*10000</f>
        <v>2.1139223908775824</v>
      </c>
      <c r="J122" s="14">
        <f t="shared" si="196"/>
        <v>3.0103598205245676</v>
      </c>
      <c r="K122" s="14">
        <f t="shared" si="196"/>
        <v>0.80241670937719678</v>
      </c>
      <c r="L122" s="14">
        <f t="shared" si="196"/>
        <v>2.7237748944743969</v>
      </c>
      <c r="M122" s="14">
        <f t="shared" si="196"/>
        <v>1.0140385165723929</v>
      </c>
      <c r="O122" s="14">
        <f t="shared" ref="O122" si="197" xml:space="preserve"> STDEV(O79:O83)*10000</f>
        <v>3.9976860714558038</v>
      </c>
      <c r="P122" s="14">
        <f t="shared" ref="P122:R122" si="198" xml:space="preserve"> STDEV(P79:P83)*10000</f>
        <v>1.172277909429541</v>
      </c>
      <c r="Q122" s="14">
        <f t="shared" ref="Q122" si="199" xml:space="preserve"> STDEV(Q79:Q83)*10000</f>
        <v>1.0648871000878863</v>
      </c>
      <c r="R122" s="14">
        <f t="shared" si="198"/>
        <v>1.0374605078232693</v>
      </c>
    </row>
    <row r="123" spans="1:18" x14ac:dyDescent="0.2">
      <c r="A123" s="4"/>
      <c r="B123" s="5">
        <v>50</v>
      </c>
      <c r="C123" s="14">
        <f t="shared" ref="C123:G123" si="200" xml:space="preserve"> STDEV(C85:C89)*10000</f>
        <v>2.9196068393505157</v>
      </c>
      <c r="D123" s="14">
        <f t="shared" si="200"/>
        <v>16.398710488015421</v>
      </c>
      <c r="E123" s="14">
        <f t="shared" si="200"/>
        <v>8.0133811126671528</v>
      </c>
      <c r="F123" s="14">
        <f t="shared" si="200"/>
        <v>2.2029683184871791</v>
      </c>
      <c r="G123" s="14">
        <f t="shared" si="200"/>
        <v>1.8780000286268179</v>
      </c>
      <c r="H123" s="14"/>
      <c r="I123" s="14">
        <f t="shared" ref="I123:M123" si="201" xml:space="preserve"> STDEV(I85:I89)*10000</f>
        <v>1.2283224475267456</v>
      </c>
      <c r="J123" s="14">
        <f t="shared" si="201"/>
        <v>3.2616426158007621</v>
      </c>
      <c r="K123" s="14">
        <f t="shared" si="201"/>
        <v>0.86021680981533821</v>
      </c>
      <c r="L123" s="14">
        <f t="shared" si="201"/>
        <v>2.4350346440145643</v>
      </c>
      <c r="M123" s="14">
        <f t="shared" si="201"/>
        <v>1.3759278951684639</v>
      </c>
      <c r="O123" s="14">
        <f t="shared" ref="O123" si="202" xml:space="preserve"> STDEV(O85:O89)*10000</f>
        <v>4.4955434420726563</v>
      </c>
      <c r="P123" s="14">
        <f t="shared" ref="P123:R123" si="203" xml:space="preserve"> STDEV(P85:P89)*10000</f>
        <v>1.3042150144437117</v>
      </c>
      <c r="Q123" s="14">
        <f t="shared" ref="Q123" si="204" xml:space="preserve"> STDEV(Q85:Q89)*10000</f>
        <v>1.9655114990572651</v>
      </c>
      <c r="R123" s="14">
        <f t="shared" si="203"/>
        <v>1.2668371716599025</v>
      </c>
    </row>
    <row r="124" spans="1:18" x14ac:dyDescent="0.2">
      <c r="A124" s="4"/>
      <c r="B124" s="5">
        <v>60</v>
      </c>
      <c r="C124" s="14">
        <f t="shared" ref="C124:G124" si="205" xml:space="preserve"> STDEV(C91:C95)*10000</f>
        <v>3.0531520248608448</v>
      </c>
      <c r="D124" s="14">
        <f t="shared" si="205"/>
        <v>15.540897209523592</v>
      </c>
      <c r="E124" s="14">
        <f t="shared" si="205"/>
        <v>4.6726873783661196</v>
      </c>
      <c r="F124" s="14">
        <f t="shared" si="205"/>
        <v>1.9409108862915829</v>
      </c>
      <c r="G124" s="14">
        <f t="shared" si="205"/>
        <v>1.9922213420620811</v>
      </c>
      <c r="H124" s="14"/>
      <c r="I124" s="14">
        <f t="shared" ref="I124:M124" si="206" xml:space="preserve"> STDEV(I91:I95)*10000</f>
        <v>1.8287409267471759</v>
      </c>
      <c r="J124" s="14">
        <f t="shared" si="206"/>
        <v>3.2260923158900581</v>
      </c>
      <c r="K124" s="14">
        <f t="shared" si="206"/>
        <v>0.99490399503262505</v>
      </c>
      <c r="L124" s="14">
        <f t="shared" si="206"/>
        <v>2.725538426478177</v>
      </c>
      <c r="M124" s="14">
        <f t="shared" si="206"/>
        <v>1.1516011917048004</v>
      </c>
      <c r="O124" s="14">
        <f t="shared" ref="O124" si="207" xml:space="preserve"> STDEV(O91:O95)*10000</f>
        <v>4.4568990852069259</v>
      </c>
      <c r="P124" s="14">
        <f t="shared" ref="P124:R124" si="208" xml:space="preserve"> STDEV(P91:P95)*10000</f>
        <v>1.3405510763494084</v>
      </c>
      <c r="Q124" s="14">
        <f t="shared" ref="Q124" si="209" xml:space="preserve"> STDEV(Q91:Q95)*10000</f>
        <v>1.4867107456484279</v>
      </c>
      <c r="R124" s="14">
        <f t="shared" si="208"/>
        <v>0.72701589680442502</v>
      </c>
    </row>
    <row r="125" spans="1:18" x14ac:dyDescent="0.2">
      <c r="A125" s="4"/>
      <c r="B125" s="5"/>
      <c r="C125" s="14"/>
      <c r="D125" s="14"/>
      <c r="E125" s="14"/>
      <c r="F125" s="14"/>
      <c r="G125" s="14"/>
      <c r="H125" s="14"/>
      <c r="R125" s="14"/>
    </row>
    <row r="126" spans="1:18" x14ac:dyDescent="0.2">
      <c r="A126" s="4"/>
      <c r="B126" s="5"/>
      <c r="C126" s="5"/>
      <c r="D126" s="5"/>
      <c r="E126" s="5"/>
      <c r="F126" s="5"/>
      <c r="G126" s="4"/>
      <c r="H126" s="4"/>
      <c r="R126" s="5"/>
    </row>
    <row r="127" spans="1:18" x14ac:dyDescent="0.2">
      <c r="A127" s="4"/>
      <c r="B127" s="5"/>
      <c r="C127" s="5"/>
      <c r="D127" s="5"/>
      <c r="E127" s="5"/>
      <c r="F127" s="5"/>
      <c r="G127" s="4"/>
      <c r="H127" s="4"/>
      <c r="R127" s="5"/>
    </row>
    <row r="128" spans="1:18" x14ac:dyDescent="0.2">
      <c r="A128" s="8" t="s">
        <v>15</v>
      </c>
      <c r="B128" s="8"/>
      <c r="C128" s="3"/>
      <c r="D128" s="3"/>
      <c r="E128" s="3"/>
      <c r="F128" s="2"/>
      <c r="G128" s="2"/>
      <c r="H128" s="2"/>
      <c r="R128" s="2"/>
    </row>
    <row r="129" spans="1:18" ht="51" x14ac:dyDescent="0.2">
      <c r="A129" s="2"/>
      <c r="B129" s="3" t="s">
        <v>2</v>
      </c>
      <c r="C129" s="3" t="s">
        <v>8</v>
      </c>
      <c r="D129" s="3" t="s">
        <v>9</v>
      </c>
      <c r="E129" s="3" t="s">
        <v>10</v>
      </c>
      <c r="F129" s="3" t="s">
        <v>31</v>
      </c>
      <c r="G129" s="3" t="s">
        <v>32</v>
      </c>
      <c r="H129" s="3"/>
      <c r="I129" s="3" t="s">
        <v>10</v>
      </c>
      <c r="J129" s="3" t="s">
        <v>35</v>
      </c>
      <c r="K129" s="3" t="s">
        <v>31</v>
      </c>
      <c r="L129" s="3" t="s">
        <v>36</v>
      </c>
      <c r="M129" s="3" t="s">
        <v>32</v>
      </c>
      <c r="O129" s="3" t="s">
        <v>28</v>
      </c>
      <c r="P129" s="3" t="s">
        <v>23</v>
      </c>
      <c r="Q129" s="3" t="s">
        <v>24</v>
      </c>
      <c r="R129" s="3" t="s">
        <v>11</v>
      </c>
    </row>
    <row r="130" spans="1:18" x14ac:dyDescent="0.2">
      <c r="A130" s="4"/>
      <c r="B130" s="5">
        <v>0</v>
      </c>
      <c r="C130" s="7">
        <f t="shared" ref="C130:E130" si="210">AVERAGE(C55:C59)*25.8/AVERAGE(C4:C8)</f>
        <v>0</v>
      </c>
      <c r="D130" s="7">
        <f t="shared" si="210"/>
        <v>0</v>
      </c>
      <c r="E130" s="7">
        <f t="shared" si="210"/>
        <v>0</v>
      </c>
      <c r="F130" s="7">
        <f t="shared" ref="F130:G130" si="211">AVERAGE(F55:F59)*25.8/AVERAGE(F4:F8)</f>
        <v>0</v>
      </c>
      <c r="G130" s="7">
        <f t="shared" si="211"/>
        <v>0</v>
      </c>
      <c r="H130" s="7"/>
      <c r="I130" s="7">
        <f t="shared" ref="I130:M130" si="212">AVERAGE(I55:I59)*25.8/AVERAGE(I4:I8)</f>
        <v>0</v>
      </c>
      <c r="J130" s="7">
        <f t="shared" si="212"/>
        <v>0</v>
      </c>
      <c r="K130" s="7">
        <f t="shared" si="212"/>
        <v>0</v>
      </c>
      <c r="L130" s="7">
        <f t="shared" si="212"/>
        <v>0</v>
      </c>
      <c r="M130" s="7">
        <f t="shared" si="212"/>
        <v>0</v>
      </c>
      <c r="O130" s="7">
        <f t="shared" ref="O130:R130" si="213">AVERAGE(O55:O59)*25.8/AVERAGE(O4:O8)</f>
        <v>0</v>
      </c>
      <c r="P130" s="7">
        <f t="shared" si="213"/>
        <v>0</v>
      </c>
      <c r="Q130" s="7">
        <f t="shared" si="213"/>
        <v>0</v>
      </c>
      <c r="R130" s="7">
        <f t="shared" si="213"/>
        <v>0</v>
      </c>
    </row>
    <row r="131" spans="1:18" x14ac:dyDescent="0.2">
      <c r="A131" s="4"/>
      <c r="B131" s="5">
        <v>10</v>
      </c>
      <c r="C131" s="7">
        <f t="shared" ref="C131:E131" si="214">AVERAGE(C61:C65)*25.8/AVERAGE(C4:C8)</f>
        <v>0.2944084723827422</v>
      </c>
      <c r="D131" s="7">
        <f t="shared" si="214"/>
        <v>0.4364713004960451</v>
      </c>
      <c r="E131" s="7">
        <f t="shared" si="214"/>
        <v>0.60679558484865492</v>
      </c>
      <c r="F131" s="7">
        <f t="shared" ref="F131:G131" si="215">AVERAGE(F61:F65)*25.8/AVERAGE(F4:F8)</f>
        <v>0.2933426174544656</v>
      </c>
      <c r="G131" s="7">
        <f t="shared" si="215"/>
        <v>0.27051393552328384</v>
      </c>
      <c r="H131" s="7"/>
      <c r="I131" s="7">
        <f t="shared" ref="I131:M131" si="216">AVERAGE(I61:I65)*25.8/AVERAGE(I4:I8)</f>
        <v>0.29257448220778787</v>
      </c>
      <c r="J131" s="7">
        <f t="shared" si="216"/>
        <v>0.29504435139069196</v>
      </c>
      <c r="K131" s="7">
        <f t="shared" si="216"/>
        <v>0.26497392836152356</v>
      </c>
      <c r="L131" s="7">
        <f t="shared" si="216"/>
        <v>0.26756998968543388</v>
      </c>
      <c r="M131" s="7">
        <f t="shared" si="216"/>
        <v>0.26322584290738199</v>
      </c>
      <c r="O131" s="7">
        <f t="shared" ref="O131:R131" si="217">AVERAGE(O61:O65)*25.8/AVERAGE(O4:O8)</f>
        <v>0.22274759513889572</v>
      </c>
      <c r="P131" s="7">
        <f t="shared" si="217"/>
        <v>0.21305799464995823</v>
      </c>
      <c r="Q131" s="7">
        <f t="shared" si="217"/>
        <v>0.18855657823047495</v>
      </c>
      <c r="R131" s="7">
        <f t="shared" si="217"/>
        <v>0.13836403442827419</v>
      </c>
    </row>
    <row r="132" spans="1:18" x14ac:dyDescent="0.2">
      <c r="A132" s="4"/>
      <c r="B132" s="5">
        <v>20</v>
      </c>
      <c r="C132" s="7">
        <f t="shared" ref="C132:E132" si="218">AVERAGE(C67:C71)*25.8/AVERAGE(C4:C8)</f>
        <v>0.32496487066958368</v>
      </c>
      <c r="D132" s="7">
        <f t="shared" si="218"/>
        <v>0.51531160069446025</v>
      </c>
      <c r="E132" s="7">
        <f t="shared" si="218"/>
        <v>0.6561246655427444</v>
      </c>
      <c r="F132" s="7">
        <f t="shared" ref="F132:G132" si="219">AVERAGE(F67:F71)*25.8/AVERAGE(F4:F8)</f>
        <v>0.31056911344591914</v>
      </c>
      <c r="G132" s="7">
        <f t="shared" si="219"/>
        <v>0.28470001894132224</v>
      </c>
      <c r="H132" s="7"/>
      <c r="I132" s="7">
        <f>AVERAGE(I67:I71)*25.8/AVERAGE(I4:I8)</f>
        <v>0.3111973135710977</v>
      </c>
      <c r="J132" s="7">
        <f t="shared" ref="J132:M132" si="220">AVERAGE(J67:J71)*25.8/AVERAGE(J4:J8)</f>
        <v>0.31239990147249735</v>
      </c>
      <c r="K132" s="7">
        <f t="shared" si="220"/>
        <v>0.28254126062858592</v>
      </c>
      <c r="L132" s="7">
        <f t="shared" si="220"/>
        <v>0.28647439113060041</v>
      </c>
      <c r="M132" s="7">
        <f t="shared" si="220"/>
        <v>0.28009929437580394</v>
      </c>
      <c r="O132" s="7">
        <f t="shared" ref="O132:R132" si="221">AVERAGE(O67:O71)*25.8/AVERAGE(O4:O8)</f>
        <v>0.28591482361111992</v>
      </c>
      <c r="P132" s="7">
        <f t="shared" si="221"/>
        <v>0.25404901822914489</v>
      </c>
      <c r="Q132" s="7">
        <f t="shared" si="221"/>
        <v>0.2238550845816776</v>
      </c>
      <c r="R132" s="7">
        <f t="shared" si="221"/>
        <v>0.21103594568585438</v>
      </c>
    </row>
    <row r="133" spans="1:18" x14ac:dyDescent="0.2">
      <c r="A133" s="4"/>
      <c r="B133" s="5">
        <v>30</v>
      </c>
      <c r="C133" s="7">
        <f t="shared" ref="C133:E133" si="222">AVERAGE(C73:C77)*25.8/AVERAGE(C4:C8)</f>
        <v>0.35649131334648354</v>
      </c>
      <c r="D133" s="7">
        <f t="shared" si="222"/>
        <v>0.53478420496033385</v>
      </c>
      <c r="E133" s="7">
        <f t="shared" si="222"/>
        <v>0.68629682169543982</v>
      </c>
      <c r="F133" s="7">
        <f t="shared" ref="F133:G133" si="223">AVERAGE(F73:F77)*25.8/AVERAGE(F4:F8)</f>
        <v>0.31992063984127966</v>
      </c>
      <c r="G133" s="7">
        <f t="shared" si="223"/>
        <v>0.29986445293991498</v>
      </c>
      <c r="H133" s="7"/>
      <c r="I133" s="7">
        <f t="shared" ref="I133:M133" si="224">AVERAGE(I73:I77)*25.8/AVERAGE(I4:I8)</f>
        <v>0.32736977238660353</v>
      </c>
      <c r="J133" s="7">
        <f t="shared" si="224"/>
        <v>0.3230060709669339</v>
      </c>
      <c r="K133" s="7">
        <f t="shared" si="224"/>
        <v>0.29181290821397998</v>
      </c>
      <c r="L133" s="7">
        <f t="shared" si="224"/>
        <v>0.29132167355243793</v>
      </c>
      <c r="M133" s="7">
        <f t="shared" si="224"/>
        <v>0.29166966109700754</v>
      </c>
      <c r="O133" s="7">
        <f t="shared" ref="O133:R133" si="225">AVERAGE(O73:O77)*25.8/AVERAGE(O4:O8)</f>
        <v>0.28543988204365961</v>
      </c>
      <c r="P133" s="7">
        <f t="shared" si="225"/>
        <v>0.27263797078249691</v>
      </c>
      <c r="Q133" s="7">
        <f t="shared" si="225"/>
        <v>0.22698280033431581</v>
      </c>
      <c r="R133" s="7">
        <f t="shared" si="225"/>
        <v>0.23731279495413199</v>
      </c>
    </row>
    <row r="134" spans="1:18" x14ac:dyDescent="0.2">
      <c r="A134" s="4"/>
      <c r="B134" s="5">
        <v>40</v>
      </c>
      <c r="C134" s="7">
        <f t="shared" ref="C134:E134" si="226">AVERAGE(C79:C83)*25.8/AVERAGE(C4:C8)</f>
        <v>0.36667677944209737</v>
      </c>
      <c r="D134" s="7">
        <f t="shared" si="226"/>
        <v>0.57372941349208095</v>
      </c>
      <c r="E134" s="7">
        <f t="shared" si="226"/>
        <v>0.70545374623683366</v>
      </c>
      <c r="F134" s="7">
        <f t="shared" ref="F134:G134" si="227">AVERAGE(F79:F83)*25.8/AVERAGE(F4:F8)</f>
        <v>0.31647534064298893</v>
      </c>
      <c r="G134" s="7">
        <f t="shared" si="227"/>
        <v>0.30720208229407286</v>
      </c>
      <c r="H134" s="7"/>
      <c r="I134" s="7">
        <f t="shared" ref="I134:M134" si="228">AVERAGE(I79:I83)*25.8/AVERAGE(I4:I8)</f>
        <v>0.34550252924035252</v>
      </c>
      <c r="J134" s="7">
        <f t="shared" si="228"/>
        <v>0.33120174739445313</v>
      </c>
      <c r="K134" s="7">
        <f t="shared" si="228"/>
        <v>0.30791629612545385</v>
      </c>
      <c r="L134" s="7">
        <f t="shared" si="228"/>
        <v>0.30101623839611308</v>
      </c>
      <c r="M134" s="7">
        <f t="shared" si="228"/>
        <v>0.2960085486174589</v>
      </c>
      <c r="O134" s="7">
        <f t="shared" ref="O134:R134" si="229">AVERAGE(O79:O83)*25.8/AVERAGE(O4:O8)</f>
        <v>0.29541365496032651</v>
      </c>
      <c r="P134" s="7">
        <f t="shared" si="229"/>
        <v>0.28693716505430628</v>
      </c>
      <c r="Q134" s="7">
        <f t="shared" si="229"/>
        <v>0.23100414915913636</v>
      </c>
      <c r="R134" s="7">
        <f t="shared" si="229"/>
        <v>0.24470315881083501</v>
      </c>
    </row>
    <row r="135" spans="1:18" x14ac:dyDescent="0.2">
      <c r="A135" s="4"/>
      <c r="B135" s="5">
        <v>50</v>
      </c>
      <c r="C135" s="7">
        <f t="shared" ref="C135:E135" si="230">AVERAGE(C85:C89)*25.8/AVERAGE(C4:C8)</f>
        <v>0.38850277821841261</v>
      </c>
      <c r="D135" s="7">
        <f t="shared" si="230"/>
        <v>0.59462684246033559</v>
      </c>
      <c r="E135" s="7">
        <f t="shared" si="230"/>
        <v>0.71646897784813546</v>
      </c>
      <c r="F135" s="7">
        <f t="shared" ref="F135:G135" si="231">AVERAGE(F85:F89)*25.8/AVERAGE(F4:F8)</f>
        <v>0.32976435183639591</v>
      </c>
      <c r="G135" s="7">
        <f t="shared" si="231"/>
        <v>0.30279950468157818</v>
      </c>
      <c r="H135" s="7"/>
      <c r="I135" s="7">
        <f t="shared" ref="I135:M135" si="232">AVERAGE(I85:I89)*25.8/AVERAGE(I4:I8)</f>
        <v>0.34746282727859573</v>
      </c>
      <c r="J135" s="7">
        <f t="shared" si="232"/>
        <v>0.34759310024949164</v>
      </c>
      <c r="K135" s="7">
        <f t="shared" si="232"/>
        <v>0.31279611064408219</v>
      </c>
      <c r="L135" s="7">
        <f t="shared" si="232"/>
        <v>0.31071080323978822</v>
      </c>
      <c r="M135" s="7">
        <f t="shared" si="232"/>
        <v>0.3008295347512937</v>
      </c>
      <c r="O135" s="7">
        <f t="shared" ref="O135:R135" si="233">AVERAGE(O85:O89)*25.8/AVERAGE(O4:O8)</f>
        <v>0.30301272003969187</v>
      </c>
      <c r="P135" s="7">
        <f t="shared" si="233"/>
        <v>0.28646052524524601</v>
      </c>
      <c r="Q135" s="7">
        <f t="shared" si="233"/>
        <v>0.23189778223131868</v>
      </c>
      <c r="R135" s="7">
        <f t="shared" si="233"/>
        <v>0.25086179535808761</v>
      </c>
    </row>
    <row r="136" spans="1:18" x14ac:dyDescent="0.2">
      <c r="A136" s="4"/>
      <c r="B136" s="5">
        <v>60</v>
      </c>
      <c r="C136" s="7">
        <f t="shared" ref="C136:E136" si="234">AVERAGE(C91:C95)*25.8/AVERAGE(C4:C8)</f>
        <v>0.40499353284940642</v>
      </c>
      <c r="D136" s="7">
        <f t="shared" si="234"/>
        <v>0.62169851180557445</v>
      </c>
      <c r="E136" s="7">
        <f t="shared" si="234"/>
        <v>0.74520436466022644</v>
      </c>
      <c r="F136" s="7">
        <f t="shared" ref="F136:G136" si="235">AVERAGE(F91:F95)*25.8/AVERAGE(F4:F8)</f>
        <v>0.34157680623053538</v>
      </c>
      <c r="G136" s="7">
        <f t="shared" si="235"/>
        <v>0.30915878345518155</v>
      </c>
      <c r="H136" s="7"/>
      <c r="I136" s="7">
        <f>AVERAGE(I91:I95)*25.8/AVERAGE(I4:I8)</f>
        <v>0.35677424296025051</v>
      </c>
      <c r="J136" s="7">
        <f t="shared" ref="I136:M136" si="236">AVERAGE(J91:J95)*25.8/AVERAGE(J4:J8)</f>
        <v>0.35096779054317595</v>
      </c>
      <c r="K136" s="7">
        <f t="shared" si="236"/>
        <v>0.31084418483663079</v>
      </c>
      <c r="L136" s="7">
        <f t="shared" si="236"/>
        <v>0.31168025972415586</v>
      </c>
      <c r="M136" s="7">
        <f t="shared" si="236"/>
        <v>0.30275792920482769</v>
      </c>
      <c r="O136" s="7">
        <f t="shared" ref="O136:R136" si="237">AVERAGE(O91:O95)*25.8/AVERAGE(O4:O8)</f>
        <v>0.30918696041667609</v>
      </c>
      <c r="P136" s="7">
        <f t="shared" si="237"/>
        <v>0.29122692333584904</v>
      </c>
      <c r="Q136" s="7">
        <f t="shared" si="237"/>
        <v>0.23457868144786573</v>
      </c>
      <c r="R136" s="7">
        <f t="shared" si="237"/>
        <v>0.25250409843735494</v>
      </c>
    </row>
    <row r="137" spans="1:18" x14ac:dyDescent="0.2">
      <c r="A137" s="4"/>
      <c r="B137" s="5"/>
      <c r="C137" s="7"/>
      <c r="D137" s="7"/>
      <c r="E137" s="5"/>
      <c r="F137" s="7"/>
      <c r="G137" s="7"/>
      <c r="H137" s="7"/>
      <c r="R137" s="7"/>
    </row>
    <row r="138" spans="1:18" x14ac:dyDescent="0.2">
      <c r="A138" s="4"/>
      <c r="B138" s="5"/>
      <c r="C138" s="5"/>
      <c r="E138" s="5"/>
      <c r="F138" s="5"/>
      <c r="G138" s="4"/>
      <c r="H138" s="4"/>
      <c r="R138" s="5"/>
    </row>
    <row r="139" spans="1:18" x14ac:dyDescent="0.2">
      <c r="A139" s="4"/>
      <c r="B139" s="5"/>
      <c r="C139" s="5"/>
      <c r="D139" s="5"/>
      <c r="E139" s="5"/>
      <c r="F139" s="5"/>
      <c r="G139" s="4"/>
      <c r="H139" s="4"/>
      <c r="R139" s="5"/>
    </row>
    <row r="140" spans="1:18" x14ac:dyDescent="0.2">
      <c r="A140" s="8" t="s">
        <v>14</v>
      </c>
      <c r="B140" s="8"/>
      <c r="C140" s="9"/>
      <c r="D140" s="9"/>
      <c r="E140" s="9"/>
      <c r="F140" s="13"/>
      <c r="G140" s="2"/>
      <c r="H140" s="2"/>
      <c r="R140" s="13"/>
    </row>
    <row r="141" spans="1:18" ht="51" x14ac:dyDescent="0.2">
      <c r="A141" s="2"/>
      <c r="B141" s="3" t="s">
        <v>2</v>
      </c>
      <c r="C141" s="3" t="s">
        <v>8</v>
      </c>
      <c r="D141" s="3" t="s">
        <v>9</v>
      </c>
      <c r="E141" s="3" t="s">
        <v>10</v>
      </c>
      <c r="F141" s="3" t="s">
        <v>31</v>
      </c>
      <c r="G141" s="3" t="s">
        <v>32</v>
      </c>
      <c r="H141" s="3"/>
      <c r="I141" s="3" t="s">
        <v>10</v>
      </c>
      <c r="J141" s="3" t="s">
        <v>35</v>
      </c>
      <c r="K141" s="3" t="s">
        <v>31</v>
      </c>
      <c r="L141" s="3" t="s">
        <v>36</v>
      </c>
      <c r="M141" s="3" t="s">
        <v>32</v>
      </c>
      <c r="O141" s="3" t="s">
        <v>28</v>
      </c>
      <c r="P141" s="3" t="s">
        <v>23</v>
      </c>
      <c r="Q141" s="3" t="s">
        <v>24</v>
      </c>
      <c r="R141" s="3" t="s">
        <v>11</v>
      </c>
    </row>
    <row r="142" spans="1:18" x14ac:dyDescent="0.2">
      <c r="A142" s="4"/>
      <c r="B142" s="5">
        <v>0</v>
      </c>
      <c r="C142" s="7">
        <f xml:space="preserve"> STDEV(C55:C59)*22.58/AVERAGE(C4:C8)</f>
        <v>0</v>
      </c>
      <c r="D142" s="7">
        <f xml:space="preserve"> STDEV(D55:D59)*22.58/AVERAGE(D4:D8)</f>
        <v>0</v>
      </c>
      <c r="E142" s="7">
        <f t="shared" ref="E142" si="238" xml:space="preserve"> STDEV(E55:E59)*22.58/AVERAGE(E4:E8)</f>
        <v>0</v>
      </c>
      <c r="F142" s="7">
        <f t="shared" ref="F142:G142" si="239" xml:space="preserve"> STDEV(F55:F59)*22.58/AVERAGE(F4:F8)</f>
        <v>0</v>
      </c>
      <c r="G142" s="7">
        <f t="shared" si="239"/>
        <v>0</v>
      </c>
      <c r="H142" s="7"/>
      <c r="I142" s="7">
        <f t="shared" ref="I142:M142" si="240" xml:space="preserve"> STDEV(I55:I59)*22.58/AVERAGE(I4:I8)</f>
        <v>0</v>
      </c>
      <c r="J142" s="7">
        <f t="shared" si="240"/>
        <v>0</v>
      </c>
      <c r="K142" s="7">
        <f t="shared" si="240"/>
        <v>0</v>
      </c>
      <c r="L142" s="7">
        <f t="shared" si="240"/>
        <v>0</v>
      </c>
      <c r="M142" s="7">
        <f t="shared" si="240"/>
        <v>0</v>
      </c>
      <c r="O142" s="7">
        <f t="shared" ref="O142:Q142" si="241" xml:space="preserve"> STDEV(O55:O59)*22.58/AVERAGE(O4:O8)</f>
        <v>0</v>
      </c>
      <c r="P142" s="7">
        <f t="shared" si="241"/>
        <v>0</v>
      </c>
      <c r="Q142" s="7">
        <f t="shared" si="241"/>
        <v>0</v>
      </c>
      <c r="R142" s="7">
        <f t="shared" ref="R142" si="242" xml:space="preserve"> STDEV(R55:R59)*22.58/AVERAGE(R4:R8)</f>
        <v>0</v>
      </c>
    </row>
    <row r="143" spans="1:18" x14ac:dyDescent="0.2">
      <c r="A143" s="4"/>
      <c r="B143" s="5">
        <v>10</v>
      </c>
      <c r="C143" s="7">
        <f xml:space="preserve"> STDEV(C61:C65)*22.58/AVERAGE(C4:C8)</f>
        <v>9.5627734622863361E-3</v>
      </c>
      <c r="D143" s="7">
        <f xml:space="preserve"> STDEV(D61:D65)*22.58/AVERAGE(D4:D8)</f>
        <v>0.12723213842582981</v>
      </c>
      <c r="E143" s="7">
        <f t="shared" ref="C143:E143" si="243" xml:space="preserve"> STDEV(E61:E65)*22.58/AVERAGE(E4:E8)</f>
        <v>0.10299723685496648</v>
      </c>
      <c r="F143" s="7">
        <f t="shared" ref="F143:G143" si="244" xml:space="preserve"> STDEV(F61:F65)*22.58/AVERAGE(F4:F8)</f>
        <v>1.339857530653738E-2</v>
      </c>
      <c r="G143" s="7">
        <f t="shared" si="244"/>
        <v>9.281489377906833E-3</v>
      </c>
      <c r="H143" s="7"/>
      <c r="I143" s="7">
        <f t="shared" ref="I143:M143" si="245" xml:space="preserve"> STDEV(I61:I65)*22.58/AVERAGE(I4:I8)</f>
        <v>9.7806567434322901E-3</v>
      </c>
      <c r="J143" s="7">
        <f t="shared" si="245"/>
        <v>1.2265025866744881E-2</v>
      </c>
      <c r="K143" s="7">
        <f t="shared" si="245"/>
        <v>7.3353113849861807E-3</v>
      </c>
      <c r="L143" s="7">
        <f t="shared" si="245"/>
        <v>1.1771936706442653E-2</v>
      </c>
      <c r="M143" s="7">
        <f t="shared" si="245"/>
        <v>1.005131877908739E-2</v>
      </c>
      <c r="O143" s="7">
        <f t="shared" ref="O143:Q143" si="246" xml:space="preserve"> STDEV(O61:O65)*22.58/AVERAGE(O4:O8)</f>
        <v>1.2845354630746006E-2</v>
      </c>
      <c r="P143" s="7">
        <f t="shared" si="246"/>
        <v>7.6065963088521463E-3</v>
      </c>
      <c r="Q143" s="7">
        <f t="shared" si="246"/>
        <v>5.0986820404856012E-3</v>
      </c>
      <c r="R143" s="7">
        <f t="shared" ref="R143" si="247" xml:space="preserve"> STDEV(R61:R65)*22.58/AVERAGE(R4:R8)</f>
        <v>5.7661530307589123E-3</v>
      </c>
    </row>
    <row r="144" spans="1:18" x14ac:dyDescent="0.2">
      <c r="A144" s="4"/>
      <c r="B144" s="5">
        <v>20</v>
      </c>
      <c r="C144" s="7">
        <f t="shared" ref="C144:E144" si="248" xml:space="preserve"> STDEV(C67:C71)*22.58/AVERAGE(C4:C8)</f>
        <v>1.3590260363414099E-2</v>
      </c>
      <c r="D144" s="7">
        <f t="shared" si="248"/>
        <v>0.13136292466267202</v>
      </c>
      <c r="E144" s="7">
        <f t="shared" si="248"/>
        <v>7.6415982977834807E-2</v>
      </c>
      <c r="F144" s="7">
        <f t="shared" ref="F144:G144" si="249" xml:space="preserve"> STDEV(F67:F71)*22.58/AVERAGE(F4:F8)</f>
        <v>1.1933623357871946E-2</v>
      </c>
      <c r="G144" s="7">
        <f t="shared" si="249"/>
        <v>1.0767106479099457E-2</v>
      </c>
      <c r="H144" s="7"/>
      <c r="I144" s="7">
        <f xml:space="preserve"> STDEV(I67:I71)*22.58/AVERAGE(I4:I8)</f>
        <v>9.9438732493841893E-3</v>
      </c>
      <c r="J144" s="7">
        <f t="shared" ref="I144:M144" si="250" xml:space="preserve"> STDEV(J67:J71)*22.58/AVERAGE(J4:J8)</f>
        <v>1.5473952385165919E-2</v>
      </c>
      <c r="K144" s="7">
        <f t="shared" si="250"/>
        <v>8.461110697118376E-3</v>
      </c>
      <c r="L144" s="7">
        <f t="shared" si="250"/>
        <v>1.5543889598050321E-2</v>
      </c>
      <c r="M144" s="7">
        <f t="shared" si="250"/>
        <v>7.8085501145171996E-3</v>
      </c>
      <c r="O144" s="7">
        <f t="shared" ref="O144:Q144" si="251" xml:space="preserve"> STDEV(O67:O71)*22.58/AVERAGE(O4:O8)</f>
        <v>1.4293710689389647E-2</v>
      </c>
      <c r="P144" s="7">
        <f t="shared" si="251"/>
        <v>1.5083960702534734E-2</v>
      </c>
      <c r="Q144" s="7">
        <f t="shared" si="251"/>
        <v>1.151776493383903E-2</v>
      </c>
      <c r="R144" s="7">
        <f t="shared" ref="R144" si="252" xml:space="preserve"> STDEV(R67:R71)*22.58/AVERAGE(R4:R8)</f>
        <v>1.1104505748550418E-2</v>
      </c>
    </row>
    <row r="145" spans="1:18" x14ac:dyDescent="0.2">
      <c r="A145" s="4"/>
      <c r="B145" s="5">
        <v>30</v>
      </c>
      <c r="C145" s="7">
        <f t="shared" ref="C145:E145" si="253" xml:space="preserve"> STDEV(C73:C77)*22.58/AVERAGE(C4:C8)</f>
        <v>1.5740451787141351E-2</v>
      </c>
      <c r="D145" s="7">
        <f t="shared" si="253"/>
        <v>0.134284860746891</v>
      </c>
      <c r="E145" s="7">
        <f t="shared" si="253"/>
        <v>5.257374315232273E-2</v>
      </c>
      <c r="F145" s="7">
        <f t="shared" ref="F145:G145" si="254" xml:space="preserve"> STDEV(F73:F77)*22.58/AVERAGE(F4:F8)</f>
        <v>1.1087307076288124E-2</v>
      </c>
      <c r="G145" s="7">
        <f t="shared" si="254"/>
        <v>6.1670546010301518E-3</v>
      </c>
      <c r="H145" s="7"/>
      <c r="I145" s="7">
        <f t="shared" ref="I145:M145" si="255" xml:space="preserve"> STDEV(I73:I77)*22.58/AVERAGE(I4:I8)</f>
        <v>8.7900428216988822E-3</v>
      </c>
      <c r="J145" s="7">
        <f t="shared" si="255"/>
        <v>1.7587435617507027E-2</v>
      </c>
      <c r="K145" s="7">
        <f t="shared" si="255"/>
        <v>7.1782201313358371E-3</v>
      </c>
      <c r="L145" s="7">
        <f t="shared" si="255"/>
        <v>1.8085885022230175E-2</v>
      </c>
      <c r="M145" s="7">
        <f t="shared" si="255"/>
        <v>3.3356472930014302E-3</v>
      </c>
      <c r="O145" s="7">
        <f t="shared" ref="O145:Q145" si="256" xml:space="preserve"> STDEV(O73:O77)*22.58/AVERAGE(O4:O8)</f>
        <v>2.1417889596185888E-2</v>
      </c>
      <c r="P145" s="7">
        <f t="shared" si="256"/>
        <v>1.2479755049677079E-2</v>
      </c>
      <c r="Q145" s="7">
        <f t="shared" si="256"/>
        <v>1.6393856749615025E-2</v>
      </c>
      <c r="R145" s="7">
        <f t="shared" ref="R145" si="257" xml:space="preserve"> STDEV(R73:R77)*22.58/AVERAGE(R4:R8)</f>
        <v>9.2139409800817244E-3</v>
      </c>
    </row>
    <row r="146" spans="1:18" x14ac:dyDescent="0.2">
      <c r="A146" s="4"/>
      <c r="B146" s="5">
        <v>40</v>
      </c>
      <c r="C146" s="7">
        <f t="shared" ref="C146:E146" si="258" xml:space="preserve"> STDEV(C79:C83)*22.58/AVERAGE(C4:C8)</f>
        <v>1.9533386971887765E-2</v>
      </c>
      <c r="D146" s="7">
        <f t="shared" si="258"/>
        <v>0.12517170131277844</v>
      </c>
      <c r="E146" s="7">
        <f t="shared" si="258"/>
        <v>4.1509661062884402E-2</v>
      </c>
      <c r="F146" s="7">
        <f t="shared" ref="F146:G146" si="259" xml:space="preserve"> STDEV(F79:F83)*22.58/AVERAGE(F4:F8)</f>
        <v>1.4734183204875247E-2</v>
      </c>
      <c r="G146" s="7">
        <f t="shared" si="259"/>
        <v>1.3333820677975493E-2</v>
      </c>
      <c r="H146" s="7"/>
      <c r="I146" s="7">
        <f t="shared" ref="I146:M146" si="260" xml:space="preserve"> STDEV(I79:I83)*22.58/AVERAGE(I4:I8)</f>
        <v>1.4623887128068565E-2</v>
      </c>
      <c r="J146" s="7">
        <f t="shared" si="260"/>
        <v>2.0486414932924874E-2</v>
      </c>
      <c r="K146" s="7">
        <f t="shared" si="260"/>
        <v>5.5273243739283415E-3</v>
      </c>
      <c r="L146" s="7">
        <f t="shared" si="260"/>
        <v>1.8637223368858143E-2</v>
      </c>
      <c r="M146" s="7">
        <f t="shared" si="260"/>
        <v>6.9008407788440718E-3</v>
      </c>
      <c r="O146" s="7">
        <f t="shared" ref="O146:Q146" si="261" xml:space="preserve"> STDEV(O79:O83)*22.58/AVERAGE(O4:O8)</f>
        <v>2.6801588923239916E-2</v>
      </c>
      <c r="P146" s="7">
        <f t="shared" si="261"/>
        <v>7.8873763989627619E-3</v>
      </c>
      <c r="Q146" s="7">
        <f t="shared" si="261"/>
        <v>6.7165225474816962E-3</v>
      </c>
      <c r="R146" s="7">
        <f t="shared" ref="R146" si="262" xml:space="preserve"> STDEV(R79:R83)*22.58/AVERAGE(R4:R8)</f>
        <v>6.0127972963679201E-3</v>
      </c>
    </row>
    <row r="147" spans="1:18" x14ac:dyDescent="0.2">
      <c r="A147" s="4"/>
      <c r="B147" s="5">
        <v>50</v>
      </c>
      <c r="C147" s="7">
        <f t="shared" ref="C147:E147" si="263" xml:space="preserve"> STDEV(C85:C89)*22.58/AVERAGE(C4:C8)</f>
        <v>1.9989303345219721E-2</v>
      </c>
      <c r="D147" s="7">
        <f t="shared" si="263"/>
        <v>0.109941473521196</v>
      </c>
      <c r="E147" s="7">
        <f t="shared" si="263"/>
        <v>5.4174295067073143E-2</v>
      </c>
      <c r="F147" s="7">
        <f t="shared" ref="F147:G147" si="264" xml:space="preserve"> STDEV(F85:F89)*22.58/AVERAGE(F4:F8)</f>
        <v>1.530554604044323E-2</v>
      </c>
      <c r="G147" s="7">
        <f t="shared" si="264"/>
        <v>1.296796350042616E-2</v>
      </c>
      <c r="H147" s="7"/>
      <c r="I147" s="7">
        <f t="shared" ref="I147:M147" si="265" xml:space="preserve"> STDEV(I85:I89)*22.58/AVERAGE(I4:I8)</f>
        <v>8.4974022258437216E-3</v>
      </c>
      <c r="J147" s="7">
        <f t="shared" si="265"/>
        <v>2.2196470845322846E-2</v>
      </c>
      <c r="K147" s="7">
        <f t="shared" si="265"/>
        <v>5.925471496531525E-3</v>
      </c>
      <c r="L147" s="7">
        <f t="shared" si="265"/>
        <v>1.6661540079348138E-2</v>
      </c>
      <c r="M147" s="7">
        <f t="shared" si="265"/>
        <v>9.3636081594044348E-3</v>
      </c>
      <c r="O147" s="7">
        <f t="shared" ref="O147:Q147" si="266" xml:space="preserve"> STDEV(O85:O89)*22.58/AVERAGE(O4:O8)</f>
        <v>3.0139361912708013E-2</v>
      </c>
      <c r="P147" s="7">
        <f t="shared" si="266"/>
        <v>8.7750819505777733E-3</v>
      </c>
      <c r="Q147" s="7">
        <f t="shared" si="266"/>
        <v>1.2396997108579062E-2</v>
      </c>
      <c r="R147" s="7">
        <f t="shared" ref="R147" si="267" xml:space="preserve"> STDEV(R85:R89)*22.58/AVERAGE(R4:R8)</f>
        <v>7.3421928480699675E-3</v>
      </c>
    </row>
    <row r="148" spans="1:18" x14ac:dyDescent="0.2">
      <c r="A148" s="4"/>
      <c r="B148" s="5">
        <v>60</v>
      </c>
      <c r="C148" s="7">
        <f t="shared" ref="C148:E148" si="268" xml:space="preserve"> STDEV(C91:C95)*22.58/AVERAGE(C4:C8)</f>
        <v>2.0903630297561517E-2</v>
      </c>
      <c r="D148" s="7">
        <f t="shared" si="268"/>
        <v>0.10419045694508391</v>
      </c>
      <c r="E148" s="7">
        <f t="shared" si="268"/>
        <v>3.1589605090870353E-2</v>
      </c>
      <c r="F148" s="7">
        <f t="shared" ref="F148:G148" si="269" xml:space="preserve"> STDEV(F91:F95)*22.58/AVERAGE(F4:F8)</f>
        <v>1.3484851634604287E-2</v>
      </c>
      <c r="G148" s="7">
        <f t="shared" si="269"/>
        <v>1.3756684374239079E-2</v>
      </c>
      <c r="H148" s="7"/>
      <c r="I148" s="7">
        <f t="shared" ref="I148:M148" si="270" xml:space="preserve"> STDEV(I91:I95)*22.58/AVERAGE(I4:I8)</f>
        <v>1.2651032514078193E-2</v>
      </c>
      <c r="J148" s="7">
        <f t="shared" si="270"/>
        <v>2.195454023291064E-2</v>
      </c>
      <c r="K148" s="7">
        <f t="shared" si="270"/>
        <v>6.8532435045261355E-3</v>
      </c>
      <c r="L148" s="7">
        <f t="shared" si="270"/>
        <v>1.86492902029931E-2</v>
      </c>
      <c r="M148" s="7">
        <f t="shared" si="270"/>
        <v>7.8369966572315822E-3</v>
      </c>
      <c r="O148" s="7">
        <f t="shared" ref="O148:Q148" si="271" xml:space="preserve"> STDEV(O91:O95)*22.58/AVERAGE(O4:O8)</f>
        <v>2.9880279496428856E-2</v>
      </c>
      <c r="P148" s="7">
        <f t="shared" si="271"/>
        <v>9.0195599833044204E-3</v>
      </c>
      <c r="Q148" s="7">
        <f t="shared" si="271"/>
        <v>9.3770750381959502E-3</v>
      </c>
      <c r="R148" s="7">
        <f t="shared" ref="R148" si="272" xml:space="preserve"> STDEV(R91:R95)*22.58/AVERAGE(R4:R8)</f>
        <v>4.2135572253192803E-3</v>
      </c>
    </row>
    <row r="149" spans="1:18" x14ac:dyDescent="0.2">
      <c r="A149" s="4"/>
      <c r="B149" s="5"/>
      <c r="C149" s="6"/>
      <c r="D149" s="6"/>
      <c r="E149" s="6"/>
      <c r="F149" s="6"/>
      <c r="G149" s="6"/>
      <c r="H149" s="6"/>
      <c r="R149" s="6"/>
    </row>
    <row r="150" spans="1:18" x14ac:dyDescent="0.2">
      <c r="A150" s="4"/>
      <c r="B150" s="5"/>
      <c r="C150" s="15"/>
      <c r="D150" s="15"/>
      <c r="E150" s="15"/>
      <c r="F150" s="15"/>
      <c r="G150" s="15"/>
      <c r="H150" s="15"/>
      <c r="R150" s="15"/>
    </row>
    <row r="151" spans="1:18" x14ac:dyDescent="0.2">
      <c r="A151" s="4"/>
      <c r="B151" s="5"/>
      <c r="C151" s="5"/>
      <c r="D151" s="5"/>
      <c r="E151" s="5"/>
      <c r="F151" s="5"/>
      <c r="G151" s="4"/>
      <c r="H151" s="4"/>
      <c r="R151" s="5"/>
    </row>
    <row r="152" spans="1:18" x14ac:dyDescent="0.2">
      <c r="A152" s="8" t="s">
        <v>37</v>
      </c>
      <c r="B152" s="5"/>
      <c r="C152" s="5"/>
      <c r="D152" s="5"/>
      <c r="E152" s="5"/>
      <c r="F152" s="5"/>
      <c r="G152" s="4"/>
      <c r="H152" s="4"/>
    </row>
    <row r="153" spans="1:18" ht="51" x14ac:dyDescent="0.2">
      <c r="A153" s="2" t="s">
        <v>1</v>
      </c>
      <c r="B153" s="5"/>
      <c r="C153" s="3" t="s">
        <v>8</v>
      </c>
      <c r="D153" s="5"/>
      <c r="E153" s="5"/>
      <c r="F153" s="5"/>
      <c r="G153" s="4"/>
      <c r="H153" s="4"/>
      <c r="I153" s="3" t="s">
        <v>10</v>
      </c>
      <c r="J153" s="3" t="s">
        <v>35</v>
      </c>
      <c r="K153" s="3" t="s">
        <v>31</v>
      </c>
      <c r="L153" s="3" t="s">
        <v>36</v>
      </c>
      <c r="M153" s="3" t="s">
        <v>32</v>
      </c>
      <c r="O153" s="3" t="s">
        <v>28</v>
      </c>
      <c r="P153" s="3" t="s">
        <v>23</v>
      </c>
      <c r="Q153" s="3" t="s">
        <v>24</v>
      </c>
      <c r="R153" s="3" t="s">
        <v>11</v>
      </c>
    </row>
    <row r="154" spans="1:18" x14ac:dyDescent="0.2">
      <c r="A154" s="4">
        <v>1</v>
      </c>
      <c r="C154" s="5">
        <v>0.14000000000000001</v>
      </c>
      <c r="I154" s="5">
        <v>0.14000000000000001</v>
      </c>
      <c r="J154" s="5">
        <v>0.15</v>
      </c>
      <c r="K154" s="5">
        <v>0.15</v>
      </c>
      <c r="L154" s="5">
        <v>0.15</v>
      </c>
      <c r="M154" s="5">
        <v>0.15</v>
      </c>
      <c r="O154" s="5">
        <v>0.16</v>
      </c>
      <c r="P154" s="5">
        <v>0.16</v>
      </c>
      <c r="Q154" s="5">
        <v>0.16</v>
      </c>
      <c r="R154" s="5">
        <v>0.16</v>
      </c>
    </row>
    <row r="155" spans="1:18" x14ac:dyDescent="0.2">
      <c r="A155" s="4">
        <v>2</v>
      </c>
      <c r="C155" s="5">
        <v>0.14000000000000001</v>
      </c>
      <c r="I155" s="5">
        <v>0.15</v>
      </c>
      <c r="J155" s="5">
        <v>0.15</v>
      </c>
      <c r="K155" s="5">
        <v>0.15</v>
      </c>
      <c r="L155" s="5">
        <v>0.15</v>
      </c>
      <c r="M155" s="5">
        <v>0.16</v>
      </c>
      <c r="O155" s="5">
        <v>0.15</v>
      </c>
      <c r="P155" s="5">
        <v>0.16</v>
      </c>
      <c r="Q155" s="5">
        <v>0.15</v>
      </c>
      <c r="R155" s="5">
        <v>0.17</v>
      </c>
    </row>
    <row r="156" spans="1:18" x14ac:dyDescent="0.2">
      <c r="A156" s="4">
        <v>3</v>
      </c>
      <c r="C156" s="5">
        <v>0.14000000000000001</v>
      </c>
      <c r="I156" s="5">
        <v>0.15</v>
      </c>
      <c r="J156" s="5">
        <v>0.15</v>
      </c>
      <c r="K156" s="5">
        <v>0.15</v>
      </c>
      <c r="L156" s="5">
        <v>0.15</v>
      </c>
      <c r="M156" s="5">
        <v>0.15</v>
      </c>
      <c r="O156" s="5">
        <v>0.16</v>
      </c>
      <c r="P156" s="5">
        <v>0.16</v>
      </c>
      <c r="Q156" s="5">
        <v>0.16</v>
      </c>
      <c r="R156" s="5">
        <v>0.17</v>
      </c>
    </row>
    <row r="157" spans="1:18" x14ac:dyDescent="0.2">
      <c r="A157" s="4">
        <v>4</v>
      </c>
      <c r="C157" s="5">
        <v>0.13</v>
      </c>
      <c r="I157" s="5">
        <v>0.13</v>
      </c>
      <c r="J157" s="5">
        <v>0.14000000000000001</v>
      </c>
      <c r="K157" s="5">
        <v>0.15</v>
      </c>
      <c r="L157" s="5">
        <v>0.16</v>
      </c>
      <c r="M157" s="5">
        <v>0.15</v>
      </c>
      <c r="O157" s="5">
        <v>0.16</v>
      </c>
      <c r="P157" s="5">
        <v>0.15</v>
      </c>
      <c r="Q157" s="5">
        <v>0.16</v>
      </c>
      <c r="R157" s="5">
        <v>0.16</v>
      </c>
    </row>
    <row r="158" spans="1:18" x14ac:dyDescent="0.2">
      <c r="A158" s="4">
        <v>5</v>
      </c>
      <c r="C158" s="5">
        <v>0.14000000000000001</v>
      </c>
      <c r="I158" s="5">
        <v>0.14000000000000001</v>
      </c>
      <c r="J158" s="5">
        <v>0.14000000000000001</v>
      </c>
      <c r="K158" s="5">
        <v>0.14000000000000001</v>
      </c>
      <c r="L158" s="5">
        <v>0.15</v>
      </c>
      <c r="M158" s="5">
        <v>0.15</v>
      </c>
      <c r="O158" s="5">
        <v>0.16</v>
      </c>
      <c r="P158" s="5">
        <v>0.16</v>
      </c>
      <c r="Q158" s="5">
        <v>0.15</v>
      </c>
      <c r="R158" s="5">
        <v>0.17</v>
      </c>
    </row>
    <row r="159" spans="1:18" x14ac:dyDescent="0.2">
      <c r="C159" s="5"/>
    </row>
    <row r="160" spans="1:18" x14ac:dyDescent="0.2">
      <c r="C160" s="5"/>
    </row>
  </sheetData>
  <mergeCells count="2">
    <mergeCell ref="A2:E2"/>
    <mergeCell ref="A53:E53"/>
  </mergeCells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54C5-7B86-D24E-ABFD-5B2CDDD76D4A}">
  <dimension ref="A1:P133"/>
  <sheetViews>
    <sheetView topLeftCell="D129" zoomScale="89" zoomScaleNormal="100" workbookViewId="0">
      <selection activeCell="T129" sqref="T129"/>
    </sheetView>
  </sheetViews>
  <sheetFormatPr baseColWidth="10" defaultRowHeight="16" x14ac:dyDescent="0.2"/>
  <cols>
    <col min="3" max="3" width="15.5" customWidth="1"/>
    <col min="4" max="4" width="14.5" customWidth="1"/>
    <col min="5" max="5" width="15" customWidth="1"/>
    <col min="6" max="6" width="14.6640625" customWidth="1"/>
  </cols>
  <sheetData>
    <row r="1" spans="1:16" x14ac:dyDescent="0.2">
      <c r="A1" s="1" t="s">
        <v>16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3" spans="1:16" ht="34" x14ac:dyDescent="0.2">
      <c r="A3" s="2" t="s">
        <v>1</v>
      </c>
      <c r="B3" s="3" t="s">
        <v>2</v>
      </c>
      <c r="C3" s="3" t="s">
        <v>17</v>
      </c>
      <c r="D3" s="3" t="s">
        <v>18</v>
      </c>
      <c r="E3" s="3" t="s">
        <v>19</v>
      </c>
      <c r="F3" s="3" t="s">
        <v>20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4">
        <v>1</v>
      </c>
      <c r="B4" s="5">
        <v>0</v>
      </c>
      <c r="C4" s="5">
        <v>0.81299999999999994</v>
      </c>
      <c r="D4" s="5">
        <v>0.82599999999999996</v>
      </c>
      <c r="E4" s="5">
        <v>0.81399999999999995</v>
      </c>
      <c r="F4" s="5">
        <v>0.79700000000000004</v>
      </c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x14ac:dyDescent="0.2">
      <c r="A5" s="4">
        <v>2</v>
      </c>
      <c r="B5" s="5">
        <v>0</v>
      </c>
      <c r="C5" s="6">
        <v>0.81100000000000005</v>
      </c>
      <c r="D5" s="6">
        <v>0.81299999999999994</v>
      </c>
      <c r="E5" s="5">
        <v>0.80700000000000005</v>
      </c>
      <c r="F5" s="6">
        <v>0.80900000000000005</v>
      </c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x14ac:dyDescent="0.2">
      <c r="A6" s="4">
        <v>3</v>
      </c>
      <c r="B6" s="5">
        <v>0</v>
      </c>
      <c r="C6" s="5">
        <v>0.80500000000000005</v>
      </c>
      <c r="D6" s="5">
        <v>0.80800000000000005</v>
      </c>
      <c r="E6" s="5">
        <v>0.80500000000000005</v>
      </c>
      <c r="F6" s="5">
        <v>0.81100000000000005</v>
      </c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">
      <c r="A7" s="4">
        <v>4</v>
      </c>
      <c r="B7" s="5">
        <v>0</v>
      </c>
      <c r="C7" s="5">
        <v>0.81399999999999995</v>
      </c>
      <c r="D7" s="5">
        <v>0.80900000000000005</v>
      </c>
      <c r="E7" s="5">
        <v>0.80200000000000005</v>
      </c>
      <c r="F7" s="5">
        <v>0.80600000000000005</v>
      </c>
      <c r="G7" s="6"/>
      <c r="H7" s="5"/>
      <c r="I7" s="5"/>
      <c r="J7" s="5"/>
      <c r="K7" s="6"/>
      <c r="L7" s="5"/>
      <c r="M7" s="5"/>
      <c r="N7" s="5"/>
      <c r="O7" s="5"/>
      <c r="P7" s="5"/>
    </row>
    <row r="8" spans="1:16" x14ac:dyDescent="0.2">
      <c r="A8" s="4">
        <v>5</v>
      </c>
      <c r="B8" s="5">
        <v>0</v>
      </c>
      <c r="C8" s="5">
        <v>0.81200000000000006</v>
      </c>
      <c r="D8" s="5">
        <v>0.81</v>
      </c>
      <c r="E8" s="5">
        <v>0.80400000000000005</v>
      </c>
      <c r="F8" s="5">
        <v>0.81</v>
      </c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2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">
      <c r="A10" s="4">
        <v>1</v>
      </c>
      <c r="B10" s="5">
        <v>10</v>
      </c>
      <c r="C10" s="5">
        <v>0.877</v>
      </c>
      <c r="D10" s="5">
        <v>0.83499999999999996</v>
      </c>
      <c r="E10" s="5">
        <v>0.91400000000000003</v>
      </c>
      <c r="F10" s="6">
        <v>0.85899999999999999</v>
      </c>
      <c r="G10" s="5"/>
      <c r="H10" s="5"/>
      <c r="I10" s="6"/>
      <c r="J10" s="5"/>
      <c r="K10" s="5"/>
      <c r="L10" s="5"/>
      <c r="M10" s="5"/>
      <c r="N10" s="5"/>
      <c r="O10" s="5"/>
      <c r="P10" s="5"/>
    </row>
    <row r="11" spans="1:16" x14ac:dyDescent="0.2">
      <c r="A11" s="4">
        <v>2</v>
      </c>
      <c r="B11" s="5">
        <v>10</v>
      </c>
      <c r="C11" s="5">
        <v>0.874</v>
      </c>
      <c r="D11" s="6">
        <v>0.82099999999999995</v>
      </c>
      <c r="E11" s="5">
        <v>0.90200000000000002</v>
      </c>
      <c r="F11" s="6">
        <v>0.83299999999999996</v>
      </c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">
      <c r="A12" s="4">
        <v>3</v>
      </c>
      <c r="B12" s="5">
        <v>10</v>
      </c>
      <c r="C12" s="5">
        <v>0.86499999999999999</v>
      </c>
      <c r="D12" s="5">
        <v>0.81699999999999995</v>
      </c>
      <c r="E12" s="6">
        <v>0.90400000000000003</v>
      </c>
      <c r="F12" s="6">
        <v>0.83199999999999996</v>
      </c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">
      <c r="A13" s="4">
        <v>4</v>
      </c>
      <c r="B13" s="5">
        <v>10</v>
      </c>
      <c r="C13" s="5">
        <v>0.874</v>
      </c>
      <c r="D13" s="5">
        <v>0.81799999999999995</v>
      </c>
      <c r="E13" s="5">
        <v>0.89500000000000002</v>
      </c>
      <c r="F13" s="5">
        <v>0.81499999999999995</v>
      </c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">
      <c r="A14" s="4">
        <v>5</v>
      </c>
      <c r="B14" s="5">
        <v>10</v>
      </c>
      <c r="C14" s="5">
        <v>0.874</v>
      </c>
      <c r="D14" s="5">
        <v>0.81899999999999995</v>
      </c>
      <c r="E14" s="5">
        <v>0.89900000000000002</v>
      </c>
      <c r="F14" s="6">
        <v>0.82499999999999996</v>
      </c>
      <c r="G14" s="5"/>
      <c r="H14" s="5"/>
      <c r="I14" s="5"/>
      <c r="J14" s="5"/>
      <c r="K14" s="6"/>
      <c r="L14" s="5"/>
      <c r="M14" s="5"/>
      <c r="N14" s="5"/>
      <c r="O14" s="5"/>
      <c r="P14" s="5"/>
    </row>
    <row r="15" spans="1:16" x14ac:dyDescent="0.2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x14ac:dyDescent="0.2">
      <c r="A16" s="4">
        <v>1</v>
      </c>
      <c r="B16" s="5">
        <v>20</v>
      </c>
      <c r="C16" s="5">
        <v>0.92800000000000005</v>
      </c>
      <c r="D16" s="5">
        <v>0.84199999999999997</v>
      </c>
      <c r="E16" s="5">
        <v>0.94699999999999995</v>
      </c>
      <c r="F16" s="5">
        <v>0.88400000000000001</v>
      </c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x14ac:dyDescent="0.2">
      <c r="A17" s="4">
        <v>2</v>
      </c>
      <c r="B17" s="5">
        <v>20</v>
      </c>
      <c r="C17" s="5">
        <v>0.92800000000000005</v>
      </c>
      <c r="D17" s="5">
        <v>0.82799999999999996</v>
      </c>
      <c r="E17" s="5">
        <v>0.93500000000000005</v>
      </c>
      <c r="F17" s="5">
        <v>0.84699999999999998</v>
      </c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x14ac:dyDescent="0.2">
      <c r="A18" s="4">
        <v>3</v>
      </c>
      <c r="B18" s="5">
        <v>20</v>
      </c>
      <c r="C18" s="6">
        <v>0.91900000000000004</v>
      </c>
      <c r="D18" s="5">
        <v>0.82399999999999995</v>
      </c>
      <c r="E18" s="6">
        <v>0.93799999999999994</v>
      </c>
      <c r="F18" s="5">
        <v>0.83899999999999997</v>
      </c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x14ac:dyDescent="0.2">
      <c r="A19" s="4">
        <v>4</v>
      </c>
      <c r="B19" s="5">
        <v>20</v>
      </c>
      <c r="C19" s="5">
        <v>0.92800000000000005</v>
      </c>
      <c r="D19" s="5">
        <v>0.84299999999999997</v>
      </c>
      <c r="E19" s="6">
        <v>0.92500000000000004</v>
      </c>
      <c r="F19" s="5">
        <v>0.82399999999999995</v>
      </c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x14ac:dyDescent="0.2">
      <c r="A20" s="4">
        <v>5</v>
      </c>
      <c r="B20" s="5">
        <v>20</v>
      </c>
      <c r="C20" s="5">
        <v>0.92700000000000005</v>
      </c>
      <c r="D20" s="5">
        <v>0.83599999999999997</v>
      </c>
      <c r="E20" s="5">
        <v>0.92600000000000005</v>
      </c>
      <c r="F20" s="5">
        <v>0.82799999999999996</v>
      </c>
      <c r="G20" s="5"/>
      <c r="H20" s="5"/>
      <c r="I20" s="5"/>
      <c r="J20" s="5"/>
      <c r="K20" s="6"/>
      <c r="L20" s="5"/>
      <c r="M20" s="5"/>
      <c r="N20" s="5"/>
      <c r="O20" s="5"/>
      <c r="P20" s="5"/>
    </row>
    <row r="21" spans="1:16" x14ac:dyDescent="0.2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2">
      <c r="A22" s="4">
        <v>1</v>
      </c>
      <c r="B22" s="5">
        <v>30</v>
      </c>
      <c r="C22" s="5">
        <v>0.96399999999999997</v>
      </c>
      <c r="D22" s="5">
        <v>0.85</v>
      </c>
      <c r="E22" s="6">
        <v>0.97299999999999998</v>
      </c>
      <c r="F22" s="5">
        <v>0.88600000000000001</v>
      </c>
      <c r="G22" s="5"/>
      <c r="H22" s="5"/>
      <c r="I22" s="6"/>
      <c r="J22" s="5"/>
      <c r="K22" s="5"/>
      <c r="L22" s="5"/>
      <c r="M22" s="5"/>
      <c r="N22" s="5"/>
      <c r="O22" s="5"/>
      <c r="P22" s="5"/>
    </row>
    <row r="23" spans="1:16" x14ac:dyDescent="0.2">
      <c r="A23" s="4">
        <v>2</v>
      </c>
      <c r="B23" s="5">
        <v>30</v>
      </c>
      <c r="C23" s="5">
        <v>0.96</v>
      </c>
      <c r="D23" s="5">
        <v>0.83399999999999996</v>
      </c>
      <c r="E23" s="5">
        <v>0.95699999999999996</v>
      </c>
      <c r="F23" s="5">
        <v>0.84899999999999998</v>
      </c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x14ac:dyDescent="0.2">
      <c r="A24" s="4">
        <v>3</v>
      </c>
      <c r="B24" s="5">
        <v>30</v>
      </c>
      <c r="C24" s="5">
        <v>0.95499999999999996</v>
      </c>
      <c r="D24" s="5">
        <v>0.83099999999999996</v>
      </c>
      <c r="E24" s="5">
        <v>0.96199999999999997</v>
      </c>
      <c r="F24" s="5">
        <v>0.84399999999999997</v>
      </c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x14ac:dyDescent="0.2">
      <c r="A25" s="4">
        <v>4</v>
      </c>
      <c r="B25" s="5">
        <v>30</v>
      </c>
      <c r="C25" s="5">
        <v>0.95799999999999996</v>
      </c>
      <c r="D25" s="5">
        <v>0.84499999999999997</v>
      </c>
      <c r="E25" s="5">
        <v>0.94699999999999995</v>
      </c>
      <c r="F25" s="5">
        <v>0.82699999999999996</v>
      </c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2">
      <c r="A26" s="4">
        <v>5</v>
      </c>
      <c r="B26" s="5">
        <v>30</v>
      </c>
      <c r="C26" s="5">
        <v>0.95699999999999996</v>
      </c>
      <c r="D26" s="5">
        <v>0.84199999999999997</v>
      </c>
      <c r="E26" s="5">
        <v>0.95199999999999996</v>
      </c>
      <c r="F26" s="5">
        <v>0.83199999999999996</v>
      </c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x14ac:dyDescent="0.2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x14ac:dyDescent="0.2">
      <c r="A28" s="4">
        <v>1</v>
      </c>
      <c r="B28" s="5">
        <v>40</v>
      </c>
      <c r="C28" s="6">
        <v>1</v>
      </c>
      <c r="D28" s="5">
        <v>0.85799999999999998</v>
      </c>
      <c r="E28" s="5">
        <v>1.006</v>
      </c>
      <c r="F28" s="6">
        <v>0.88400000000000001</v>
      </c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x14ac:dyDescent="0.2">
      <c r="A29" s="4">
        <v>2</v>
      </c>
      <c r="B29" s="5">
        <v>40</v>
      </c>
      <c r="C29" s="5">
        <v>0.996</v>
      </c>
      <c r="D29" s="5">
        <v>0.84</v>
      </c>
      <c r="E29" s="5">
        <v>0.98399999999999999</v>
      </c>
      <c r="F29" s="6">
        <v>0.85299999999999998</v>
      </c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x14ac:dyDescent="0.2">
      <c r="A30" s="4">
        <v>3</v>
      </c>
      <c r="B30" s="5">
        <v>40</v>
      </c>
      <c r="C30" s="5">
        <v>1.0009999999999999</v>
      </c>
      <c r="D30" s="5">
        <v>0.83599999999999997</v>
      </c>
      <c r="E30" s="5">
        <v>0.98899999999999999</v>
      </c>
      <c r="F30" s="5">
        <v>0.85199999999999998</v>
      </c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x14ac:dyDescent="0.2">
      <c r="A31" s="4">
        <v>4</v>
      </c>
      <c r="B31" s="5">
        <v>40</v>
      </c>
      <c r="C31" s="5">
        <v>0.995</v>
      </c>
      <c r="D31" s="5">
        <v>0.84599999999999997</v>
      </c>
      <c r="E31" s="5">
        <v>0.97399999999999998</v>
      </c>
      <c r="F31" s="5">
        <v>0.83099999999999996</v>
      </c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x14ac:dyDescent="0.2">
      <c r="A32" s="4">
        <v>5</v>
      </c>
      <c r="B32" s="5">
        <v>40</v>
      </c>
      <c r="C32" s="5">
        <v>0.99399999999999999</v>
      </c>
      <c r="D32" s="5">
        <v>0.84299999999999997</v>
      </c>
      <c r="E32" s="5">
        <v>0.97599999999999998</v>
      </c>
      <c r="F32" s="5">
        <v>0.83399999999999996</v>
      </c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x14ac:dyDescent="0.2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2">
      <c r="A34" s="4">
        <v>1</v>
      </c>
      <c r="B34" s="5">
        <v>50</v>
      </c>
      <c r="C34" s="5">
        <v>1.0640000000000001</v>
      </c>
      <c r="D34" s="5">
        <v>0.86199999999999999</v>
      </c>
      <c r="E34" s="5">
        <v>1.048</v>
      </c>
      <c r="F34" s="5">
        <v>0.88500000000000001</v>
      </c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x14ac:dyDescent="0.2">
      <c r="A35" s="4">
        <v>2</v>
      </c>
      <c r="B35" s="5">
        <v>50</v>
      </c>
      <c r="C35" s="5">
        <v>1.04</v>
      </c>
      <c r="D35" s="5">
        <v>0.84499999999999997</v>
      </c>
      <c r="E35" s="5">
        <v>1.0249999999999999</v>
      </c>
      <c r="F35" s="5">
        <v>0.85499999999999998</v>
      </c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x14ac:dyDescent="0.2">
      <c r="A36" s="4">
        <v>3</v>
      </c>
      <c r="B36" s="5">
        <v>50</v>
      </c>
      <c r="C36" s="5">
        <v>1.0389999999999999</v>
      </c>
      <c r="D36" s="6">
        <v>0.84099999999999997</v>
      </c>
      <c r="E36" s="5">
        <v>1.0269999999999999</v>
      </c>
      <c r="F36" s="6">
        <v>0.85299999999999998</v>
      </c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x14ac:dyDescent="0.2">
      <c r="A37" s="4">
        <v>4</v>
      </c>
      <c r="B37" s="5">
        <v>50</v>
      </c>
      <c r="C37" s="5">
        <v>1.0409999999999999</v>
      </c>
      <c r="D37" s="5">
        <v>0.84899999999999998</v>
      </c>
      <c r="E37" s="5">
        <v>1.002</v>
      </c>
      <c r="F37" s="6">
        <v>0.83399999999999996</v>
      </c>
      <c r="G37" s="6"/>
      <c r="H37" s="5"/>
      <c r="I37" s="5"/>
      <c r="J37" s="5"/>
      <c r="K37" s="5"/>
      <c r="L37" s="5"/>
      <c r="M37" s="6"/>
      <c r="N37" s="5"/>
      <c r="O37" s="5"/>
      <c r="P37" s="5"/>
    </row>
    <row r="38" spans="1:16" x14ac:dyDescent="0.2">
      <c r="A38" s="4">
        <v>5</v>
      </c>
      <c r="B38" s="5">
        <v>50</v>
      </c>
      <c r="C38" s="5">
        <v>1.036</v>
      </c>
      <c r="D38" s="5">
        <v>0.84499999999999997</v>
      </c>
      <c r="E38" s="5">
        <v>1.0129999999999999</v>
      </c>
      <c r="F38" s="5">
        <v>0.83599999999999997</v>
      </c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x14ac:dyDescent="0.2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x14ac:dyDescent="0.2">
      <c r="A40" s="4">
        <v>1</v>
      </c>
      <c r="B40" s="5">
        <v>60</v>
      </c>
      <c r="C40" s="5">
        <v>1.137</v>
      </c>
      <c r="D40" s="5">
        <v>0.86599999999999999</v>
      </c>
      <c r="E40" s="5">
        <v>1.1040000000000001</v>
      </c>
      <c r="F40" s="5">
        <v>0.88400000000000001</v>
      </c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x14ac:dyDescent="0.2">
      <c r="A41" s="4">
        <v>2</v>
      </c>
      <c r="B41" s="5">
        <v>60</v>
      </c>
      <c r="C41" s="5">
        <v>1.1180000000000001</v>
      </c>
      <c r="D41" s="5">
        <v>0.84899999999999998</v>
      </c>
      <c r="E41" s="5">
        <v>1.0669999999999999</v>
      </c>
      <c r="F41" s="5">
        <v>0.85599999999999998</v>
      </c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x14ac:dyDescent="0.2">
      <c r="A42" s="4">
        <v>3</v>
      </c>
      <c r="B42" s="5">
        <v>60</v>
      </c>
      <c r="C42" s="5">
        <v>1.121</v>
      </c>
      <c r="D42" s="5">
        <v>0.84599999999999997</v>
      </c>
      <c r="E42" s="5">
        <v>1.081</v>
      </c>
      <c r="F42" s="5">
        <v>0.85399999999999998</v>
      </c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x14ac:dyDescent="0.2">
      <c r="A43" s="4">
        <v>4</v>
      </c>
      <c r="B43" s="5">
        <v>60</v>
      </c>
      <c r="C43" s="5">
        <v>1.1279999999999999</v>
      </c>
      <c r="D43" s="5">
        <v>0.85</v>
      </c>
      <c r="E43" s="6">
        <v>1.0529999999999999</v>
      </c>
      <c r="F43" s="5">
        <v>0.83699999999999997</v>
      </c>
      <c r="G43" s="5"/>
      <c r="H43" s="5"/>
      <c r="I43" s="6"/>
      <c r="J43" s="5"/>
      <c r="K43" s="5"/>
      <c r="L43" s="5"/>
      <c r="M43" s="5"/>
      <c r="N43" s="5"/>
      <c r="O43" s="5"/>
      <c r="P43" s="5"/>
    </row>
    <row r="44" spans="1:16" x14ac:dyDescent="0.2">
      <c r="A44" s="4">
        <v>5</v>
      </c>
      <c r="B44" s="5">
        <v>60</v>
      </c>
      <c r="C44" s="5">
        <v>1.099</v>
      </c>
      <c r="D44" s="5">
        <v>0.84699999999999998</v>
      </c>
      <c r="E44" s="5">
        <v>1.0620000000000001</v>
      </c>
      <c r="F44" s="5">
        <v>0.83699999999999997</v>
      </c>
      <c r="G44" s="5"/>
      <c r="H44" s="5"/>
      <c r="I44" s="6"/>
      <c r="J44" s="5"/>
      <c r="K44" s="5"/>
      <c r="L44" s="5"/>
      <c r="M44" s="5"/>
      <c r="N44" s="5"/>
      <c r="O44" s="5"/>
      <c r="P44" s="5"/>
    </row>
    <row r="45" spans="1:16" x14ac:dyDescent="0.2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 x14ac:dyDescent="0.2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 x14ac:dyDescent="0.2">
      <c r="A47" s="29" t="s">
        <v>3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</row>
    <row r="48" spans="1:16" ht="34" x14ac:dyDescent="0.2">
      <c r="A48" s="2" t="s">
        <v>1</v>
      </c>
      <c r="B48" s="3" t="s">
        <v>2</v>
      </c>
      <c r="C48" s="3" t="s">
        <v>17</v>
      </c>
      <c r="D48" s="3" t="s">
        <v>18</v>
      </c>
      <c r="E48" s="3" t="s">
        <v>19</v>
      </c>
      <c r="F48" s="3" t="s">
        <v>20</v>
      </c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4">
        <v>1</v>
      </c>
      <c r="B49" s="5">
        <v>0</v>
      </c>
      <c r="C49" s="7">
        <f t="shared" ref="C49:D53" si="0" xml:space="preserve"> (D4-D4)/14.52</f>
        <v>0</v>
      </c>
      <c r="D49" s="7">
        <f t="shared" si="0"/>
        <v>0</v>
      </c>
      <c r="E49" s="7">
        <f t="shared" ref="E49:F53" si="1" xml:space="preserve"> (E4-E4)/14.52</f>
        <v>0</v>
      </c>
      <c r="F49" s="7">
        <f t="shared" si="1"/>
        <v>0</v>
      </c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 x14ac:dyDescent="0.2">
      <c r="A50" s="4">
        <v>2</v>
      </c>
      <c r="B50" s="5">
        <v>0</v>
      </c>
      <c r="C50" s="7">
        <f t="shared" si="0"/>
        <v>0</v>
      </c>
      <c r="D50" s="7">
        <f t="shared" si="0"/>
        <v>0</v>
      </c>
      <c r="E50" s="7">
        <f t="shared" si="1"/>
        <v>0</v>
      </c>
      <c r="F50" s="7">
        <f t="shared" si="1"/>
        <v>0</v>
      </c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 x14ac:dyDescent="0.2">
      <c r="A51" s="4">
        <v>3</v>
      </c>
      <c r="B51" s="5">
        <v>0</v>
      </c>
      <c r="C51" s="7">
        <f t="shared" si="0"/>
        <v>0</v>
      </c>
      <c r="D51" s="7">
        <f t="shared" si="0"/>
        <v>0</v>
      </c>
      <c r="E51" s="7">
        <f t="shared" si="1"/>
        <v>0</v>
      </c>
      <c r="F51" s="7">
        <f t="shared" si="1"/>
        <v>0</v>
      </c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 x14ac:dyDescent="0.2">
      <c r="A52" s="4">
        <v>4</v>
      </c>
      <c r="B52" s="5">
        <v>0</v>
      </c>
      <c r="C52" s="7">
        <f t="shared" si="0"/>
        <v>0</v>
      </c>
      <c r="D52" s="7">
        <f t="shared" si="0"/>
        <v>0</v>
      </c>
      <c r="E52" s="7">
        <f t="shared" si="1"/>
        <v>0</v>
      </c>
      <c r="F52" s="7">
        <f t="shared" si="1"/>
        <v>0</v>
      </c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 x14ac:dyDescent="0.2">
      <c r="A53" s="4">
        <v>5</v>
      </c>
      <c r="B53" s="5">
        <v>0</v>
      </c>
      <c r="C53" s="7">
        <f t="shared" si="0"/>
        <v>0</v>
      </c>
      <c r="D53" s="7">
        <f t="shared" si="0"/>
        <v>0</v>
      </c>
      <c r="E53" s="7">
        <f t="shared" si="1"/>
        <v>0</v>
      </c>
      <c r="F53" s="7">
        <f t="shared" si="1"/>
        <v>0</v>
      </c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 x14ac:dyDescent="0.2">
      <c r="A54" s="4"/>
      <c r="B54" s="5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 x14ac:dyDescent="0.2">
      <c r="A55" s="4">
        <v>1</v>
      </c>
      <c r="B55" s="5">
        <v>10</v>
      </c>
      <c r="C55" s="7">
        <f t="shared" ref="C55:D59" si="2" xml:space="preserve"> (C10-D4)/14.52</f>
        <v>3.5123966942148793E-3</v>
      </c>
      <c r="D55" s="7">
        <f t="shared" si="2"/>
        <v>1.4462809917355386E-3</v>
      </c>
      <c r="E55" s="7">
        <f xml:space="preserve"> (E10-E4)/14.52</f>
        <v>6.8870523415978024E-3</v>
      </c>
      <c r="F55" s="7">
        <f xml:space="preserve"> (F10-F4)/14.52</f>
        <v>4.2699724517906296E-3</v>
      </c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x14ac:dyDescent="0.2">
      <c r="A56" s="4">
        <v>2</v>
      </c>
      <c r="B56" s="5">
        <v>10</v>
      </c>
      <c r="C56" s="7">
        <f t="shared" si="2"/>
        <v>4.2011019283746598E-3</v>
      </c>
      <c r="D56" s="7">
        <f t="shared" si="2"/>
        <v>9.6418732782368468E-4</v>
      </c>
      <c r="E56" s="7">
        <f t="shared" ref="E56:F59" si="3" xml:space="preserve"> (E11-E5)/14.52</f>
        <v>6.5426997245179048E-3</v>
      </c>
      <c r="F56" s="7">
        <f t="shared" si="3"/>
        <v>1.652892561983465E-3</v>
      </c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 x14ac:dyDescent="0.2">
      <c r="A57" s="4">
        <v>3</v>
      </c>
      <c r="B57" s="5">
        <v>10</v>
      </c>
      <c r="C57" s="7">
        <f t="shared" si="2"/>
        <v>3.9256198347107397E-3</v>
      </c>
      <c r="D57" s="7">
        <f t="shared" si="2"/>
        <v>8.2644628099172869E-4</v>
      </c>
      <c r="E57" s="7">
        <f t="shared" si="3"/>
        <v>6.818181818181817E-3</v>
      </c>
      <c r="F57" s="7">
        <f t="shared" si="3"/>
        <v>1.4462809917355308E-3</v>
      </c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 x14ac:dyDescent="0.2">
      <c r="A58" s="4">
        <v>4</v>
      </c>
      <c r="B58" s="5">
        <v>10</v>
      </c>
      <c r="C58" s="7">
        <f t="shared" si="2"/>
        <v>4.4765840220385641E-3</v>
      </c>
      <c r="D58" s="7">
        <f t="shared" si="2"/>
        <v>1.1019283746556408E-3</v>
      </c>
      <c r="E58" s="7">
        <f t="shared" si="3"/>
        <v>6.4049586776859487E-3</v>
      </c>
      <c r="F58" s="7">
        <f t="shared" si="3"/>
        <v>6.1983471074379454E-4</v>
      </c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16" x14ac:dyDescent="0.2">
      <c r="A59" s="4">
        <v>5</v>
      </c>
      <c r="B59" s="5">
        <v>10</v>
      </c>
      <c r="C59" s="7">
        <f t="shared" si="2"/>
        <v>4.4077134986225857E-3</v>
      </c>
      <c r="D59" s="7">
        <f t="shared" si="2"/>
        <v>1.0330578512396627E-3</v>
      </c>
      <c r="E59" s="7">
        <f t="shared" si="3"/>
        <v>6.5426997245179048E-3</v>
      </c>
      <c r="F59" s="7">
        <f t="shared" si="3"/>
        <v>1.0330578512396627E-3</v>
      </c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 x14ac:dyDescent="0.2">
      <c r="A60" s="4"/>
      <c r="B60" s="5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 x14ac:dyDescent="0.2">
      <c r="A61" s="4">
        <v>1</v>
      </c>
      <c r="B61" s="5">
        <v>20</v>
      </c>
      <c r="C61" s="7">
        <f t="shared" ref="C61:D65" si="4" xml:space="preserve"> (C16-D4)/14.52</f>
        <v>7.0247933884297585E-3</v>
      </c>
      <c r="D61" s="7">
        <f t="shared" si="4"/>
        <v>1.9283746556473848E-3</v>
      </c>
      <c r="E61" s="7">
        <f t="shared" ref="E61:F65" si="5" xml:space="preserve"> (E16-E4)/14.52</f>
        <v>9.1597796143250698E-3</v>
      </c>
      <c r="F61" s="7">
        <f t="shared" si="5"/>
        <v>5.9917355371900804E-3</v>
      </c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 x14ac:dyDescent="0.2">
      <c r="A62" s="4">
        <v>2</v>
      </c>
      <c r="B62" s="5">
        <v>20</v>
      </c>
      <c r="C62" s="7">
        <f t="shared" si="4"/>
        <v>7.9201101928374727E-3</v>
      </c>
      <c r="D62" s="7">
        <f t="shared" si="4"/>
        <v>1.4462809917355308E-3</v>
      </c>
      <c r="E62" s="7">
        <f t="shared" si="5"/>
        <v>8.81542699724518E-3</v>
      </c>
      <c r="F62" s="7">
        <f t="shared" si="5"/>
        <v>2.6170798898071572E-3</v>
      </c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 x14ac:dyDescent="0.2">
      <c r="A63" s="4">
        <v>3</v>
      </c>
      <c r="B63" s="5">
        <v>20</v>
      </c>
      <c r="C63" s="7">
        <f t="shared" si="4"/>
        <v>7.6446280991735527E-3</v>
      </c>
      <c r="D63" s="7">
        <f t="shared" si="4"/>
        <v>1.3085399449035749E-3</v>
      </c>
      <c r="E63" s="7">
        <f t="shared" si="5"/>
        <v>9.1597796143250611E-3</v>
      </c>
      <c r="F63" s="7">
        <f t="shared" si="5"/>
        <v>1.9283746556473769E-3</v>
      </c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1:16" x14ac:dyDescent="0.2">
      <c r="A64" s="4">
        <v>4</v>
      </c>
      <c r="B64" s="5">
        <v>20</v>
      </c>
      <c r="C64" s="7">
        <f t="shared" si="4"/>
        <v>8.195592286501378E-3</v>
      </c>
      <c r="D64" s="7">
        <f t="shared" si="4"/>
        <v>2.8236914600550914E-3</v>
      </c>
      <c r="E64" s="7">
        <f t="shared" si="5"/>
        <v>8.4710743801652902E-3</v>
      </c>
      <c r="F64" s="7">
        <f t="shared" si="5"/>
        <v>1.2396694214875969E-3</v>
      </c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 x14ac:dyDescent="0.2">
      <c r="A65" s="4">
        <v>5</v>
      </c>
      <c r="B65" s="5">
        <v>20</v>
      </c>
      <c r="C65" s="7">
        <f t="shared" si="4"/>
        <v>8.057851239669421E-3</v>
      </c>
      <c r="D65" s="7">
        <f t="shared" si="4"/>
        <v>2.2038567493112889E-3</v>
      </c>
      <c r="E65" s="7">
        <f t="shared" si="5"/>
        <v>8.4022038567493108E-3</v>
      </c>
      <c r="F65" s="7">
        <f t="shared" si="5"/>
        <v>1.2396694214875969E-3</v>
      </c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6" x14ac:dyDescent="0.2">
      <c r="A66" s="4"/>
      <c r="B66" s="5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1:16" x14ac:dyDescent="0.2">
      <c r="A67" s="4">
        <v>1</v>
      </c>
      <c r="B67" s="5">
        <v>30</v>
      </c>
      <c r="C67" s="7">
        <f t="shared" ref="C67:D71" si="6" xml:space="preserve"> (C22-D4)/14.52</f>
        <v>9.5041322314049596E-3</v>
      </c>
      <c r="D67" s="7">
        <f t="shared" si="6"/>
        <v>2.4793388429752089E-3</v>
      </c>
      <c r="E67" s="7">
        <f xml:space="preserve"> (E22-E4)/14.52</f>
        <v>1.0950413223140498E-2</v>
      </c>
      <c r="F67" s="7">
        <f xml:space="preserve"> (F22-F4)/14.52</f>
        <v>6.1294765840220365E-3</v>
      </c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1:16" x14ac:dyDescent="0.2">
      <c r="A68" s="4">
        <v>2</v>
      </c>
      <c r="B68" s="5">
        <v>30</v>
      </c>
      <c r="C68" s="7">
        <f t="shared" si="6"/>
        <v>1.0123966942148762E-2</v>
      </c>
      <c r="D68" s="7">
        <f t="shared" si="6"/>
        <v>1.8595041322313991E-3</v>
      </c>
      <c r="E68" s="7">
        <f t="shared" ref="E68:F71" si="7" xml:space="preserve"> (E23-E5)/14.52</f>
        <v>1.0330578512396688E-2</v>
      </c>
      <c r="F68" s="7">
        <f t="shared" si="7"/>
        <v>2.7548209366391133E-3</v>
      </c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6" x14ac:dyDescent="0.2">
      <c r="A69" s="4">
        <v>3</v>
      </c>
      <c r="B69" s="5">
        <v>30</v>
      </c>
      <c r="C69" s="7">
        <f t="shared" si="6"/>
        <v>1.0123966942148755E-2</v>
      </c>
      <c r="D69" s="7">
        <f t="shared" si="6"/>
        <v>1.7906336088154211E-3</v>
      </c>
      <c r="E69" s="7">
        <f t="shared" si="7"/>
        <v>1.0812672176308534E-2</v>
      </c>
      <c r="F69" s="7">
        <f t="shared" si="7"/>
        <v>2.272727272727267E-3</v>
      </c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 x14ac:dyDescent="0.2">
      <c r="A70" s="4">
        <v>4</v>
      </c>
      <c r="B70" s="5">
        <v>30</v>
      </c>
      <c r="C70" s="7">
        <f t="shared" si="6"/>
        <v>1.026170798898071E-2</v>
      </c>
      <c r="D70" s="7">
        <f t="shared" si="6"/>
        <v>2.9614325068870475E-3</v>
      </c>
      <c r="E70" s="7">
        <f t="shared" si="7"/>
        <v>9.9862258953167977E-3</v>
      </c>
      <c r="F70" s="7">
        <f t="shared" si="7"/>
        <v>1.4462809917355308E-3</v>
      </c>
      <c r="G70" s="7"/>
      <c r="H70" s="7"/>
      <c r="I70" s="7"/>
      <c r="J70" s="7"/>
      <c r="K70" s="7"/>
      <c r="L70" s="7"/>
      <c r="M70" s="7"/>
      <c r="N70" s="7"/>
      <c r="O70" s="7"/>
      <c r="P70" s="7"/>
    </row>
    <row r="71" spans="1:16" x14ac:dyDescent="0.2">
      <c r="A71" s="4">
        <v>5</v>
      </c>
      <c r="B71" s="5">
        <v>30</v>
      </c>
      <c r="C71" s="7">
        <f t="shared" si="6"/>
        <v>1.0123966942148755E-2</v>
      </c>
      <c r="D71" s="7">
        <f t="shared" si="6"/>
        <v>2.6170798898071572E-3</v>
      </c>
      <c r="E71" s="7">
        <f t="shared" si="7"/>
        <v>1.0192837465564732E-2</v>
      </c>
      <c r="F71" s="7">
        <f t="shared" si="7"/>
        <v>1.5151515151515089E-3</v>
      </c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1:16" x14ac:dyDescent="0.2">
      <c r="A72" s="4"/>
      <c r="B72" s="5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spans="1:16" x14ac:dyDescent="0.2">
      <c r="A73" s="4">
        <v>1</v>
      </c>
      <c r="B73" s="5">
        <v>40</v>
      </c>
      <c r="C73" s="7">
        <f t="shared" ref="C73:D77" si="8" xml:space="preserve"> (C28-D4)/14.52</f>
        <v>1.1983471074380169E-2</v>
      </c>
      <c r="D73" s="7">
        <f t="shared" si="8"/>
        <v>3.0303030303030329E-3</v>
      </c>
      <c r="E73" s="7">
        <f xml:space="preserve"> (E28-E4)/14.52</f>
        <v>1.3223140495867773E-2</v>
      </c>
      <c r="F73" s="7">
        <f xml:space="preserve"> (F28-F4)/14.52</f>
        <v>5.9917355371900804E-3</v>
      </c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1:16" x14ac:dyDescent="0.2">
      <c r="A74" s="4">
        <v>2</v>
      </c>
      <c r="B74" s="5">
        <v>40</v>
      </c>
      <c r="C74" s="7">
        <f t="shared" si="8"/>
        <v>1.2603305785123971E-2</v>
      </c>
      <c r="D74" s="7">
        <f t="shared" si="8"/>
        <v>2.272727272727267E-3</v>
      </c>
      <c r="E74" s="7">
        <f t="shared" ref="E74:F77" si="9" xml:space="preserve"> (E29-E5)/14.52</f>
        <v>1.2190082644628095E-2</v>
      </c>
      <c r="F74" s="7">
        <f t="shared" si="9"/>
        <v>3.0303030303030255E-3</v>
      </c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1:16" x14ac:dyDescent="0.2">
      <c r="A75" s="4">
        <v>3</v>
      </c>
      <c r="B75" s="5">
        <v>40</v>
      </c>
      <c r="C75" s="7">
        <f t="shared" si="8"/>
        <v>1.3292011019283735E-2</v>
      </c>
      <c r="D75" s="7">
        <f t="shared" si="8"/>
        <v>2.1349862258953113E-3</v>
      </c>
      <c r="E75" s="7">
        <f t="shared" si="9"/>
        <v>1.267217630853994E-2</v>
      </c>
      <c r="F75" s="7">
        <f t="shared" si="9"/>
        <v>2.8236914600550914E-3</v>
      </c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1:16" x14ac:dyDescent="0.2">
      <c r="A76" s="4">
        <v>4</v>
      </c>
      <c r="B76" s="5">
        <v>40</v>
      </c>
      <c r="C76" s="7">
        <f t="shared" si="8"/>
        <v>1.2809917355371897E-2</v>
      </c>
      <c r="D76" s="7">
        <f t="shared" si="8"/>
        <v>3.0303030303030255E-3</v>
      </c>
      <c r="E76" s="7">
        <f t="shared" si="9"/>
        <v>1.1845730027548206E-2</v>
      </c>
      <c r="F76" s="7">
        <f t="shared" si="9"/>
        <v>1.721763085399443E-3</v>
      </c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1:16" x14ac:dyDescent="0.2">
      <c r="A77" s="4">
        <v>5</v>
      </c>
      <c r="B77" s="5">
        <v>40</v>
      </c>
      <c r="C77" s="7">
        <f t="shared" si="8"/>
        <v>1.267217630853994E-2</v>
      </c>
      <c r="D77" s="7">
        <f t="shared" si="8"/>
        <v>2.6859504132231353E-3</v>
      </c>
      <c r="E77" s="7">
        <f t="shared" si="9"/>
        <v>1.1845730027548206E-2</v>
      </c>
      <c r="F77" s="7">
        <f t="shared" si="9"/>
        <v>1.652892561983465E-3</v>
      </c>
      <c r="G77" s="7"/>
      <c r="H77" s="7"/>
      <c r="I77" s="7"/>
      <c r="J77" s="7"/>
      <c r="K77" s="7"/>
      <c r="L77" s="7"/>
      <c r="M77" s="7"/>
      <c r="N77" s="7"/>
      <c r="O77" s="7"/>
      <c r="P77" s="7"/>
    </row>
    <row r="78" spans="1:16" x14ac:dyDescent="0.2">
      <c r="A78" s="4"/>
      <c r="B78" s="5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1:16" x14ac:dyDescent="0.2">
      <c r="A79" s="4">
        <v>1</v>
      </c>
      <c r="B79" s="5">
        <v>50</v>
      </c>
      <c r="C79" s="7">
        <f t="shared" ref="C79:D83" si="10" xml:space="preserve"> (C34-D4)/14.52</f>
        <v>1.6391184573002763E-2</v>
      </c>
      <c r="D79" s="7">
        <f t="shared" si="10"/>
        <v>3.3057851239669451E-3</v>
      </c>
      <c r="E79" s="7">
        <f xml:space="preserve"> (E34-E4)/14.52</f>
        <v>1.6115702479338849E-2</v>
      </c>
      <c r="F79" s="7">
        <f xml:space="preserve"> (F34-F4)/14.52</f>
        <v>6.0606060606060589E-3</v>
      </c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 x14ac:dyDescent="0.2">
      <c r="A80" s="4">
        <v>2</v>
      </c>
      <c r="B80" s="5">
        <v>50</v>
      </c>
      <c r="C80" s="7">
        <f t="shared" si="10"/>
        <v>1.5633608815427004E-2</v>
      </c>
      <c r="D80" s="7">
        <f t="shared" si="10"/>
        <v>2.6170798898071572E-3</v>
      </c>
      <c r="E80" s="7">
        <f t="shared" ref="E80:F83" si="11" xml:space="preserve"> (E35-E5)/14.52</f>
        <v>1.5013774104683186E-2</v>
      </c>
      <c r="F80" s="7">
        <f t="shared" si="11"/>
        <v>3.1680440771349816E-3</v>
      </c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1:16" x14ac:dyDescent="0.2">
      <c r="A81" s="4">
        <v>3</v>
      </c>
      <c r="B81" s="5">
        <v>50</v>
      </c>
      <c r="C81" s="7">
        <f t="shared" si="10"/>
        <v>1.5909090909090901E-2</v>
      </c>
      <c r="D81" s="7">
        <f t="shared" si="10"/>
        <v>2.4793388429752011E-3</v>
      </c>
      <c r="E81" s="7">
        <f t="shared" si="11"/>
        <v>1.5289256198347098E-2</v>
      </c>
      <c r="F81" s="7">
        <f t="shared" si="11"/>
        <v>2.8925619834710694E-3</v>
      </c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pans="1:16" x14ac:dyDescent="0.2">
      <c r="A82" s="4">
        <v>4</v>
      </c>
      <c r="B82" s="5">
        <v>50</v>
      </c>
      <c r="C82" s="7">
        <f t="shared" si="10"/>
        <v>1.597796143250688E-2</v>
      </c>
      <c r="D82" s="7">
        <f t="shared" si="10"/>
        <v>3.2369146005509597E-3</v>
      </c>
      <c r="E82" s="7">
        <f t="shared" si="11"/>
        <v>1.3774104683195589E-2</v>
      </c>
      <c r="F82" s="7">
        <f t="shared" si="11"/>
        <v>1.9283746556473769E-3</v>
      </c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x14ac:dyDescent="0.2">
      <c r="A83" s="4">
        <v>5</v>
      </c>
      <c r="B83" s="5">
        <v>50</v>
      </c>
      <c r="C83" s="7">
        <f t="shared" si="10"/>
        <v>1.5564738292011018E-2</v>
      </c>
      <c r="D83" s="7">
        <f t="shared" si="10"/>
        <v>2.8236914600550914E-3</v>
      </c>
      <c r="E83" s="7">
        <f t="shared" si="11"/>
        <v>1.4393939393939384E-2</v>
      </c>
      <c r="F83" s="7">
        <f t="shared" si="11"/>
        <v>1.7906336088154211E-3</v>
      </c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x14ac:dyDescent="0.2">
      <c r="A84" s="4"/>
      <c r="B84" s="5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 x14ac:dyDescent="0.2">
      <c r="A85" s="4">
        <v>1</v>
      </c>
      <c r="B85" s="5">
        <v>60</v>
      </c>
      <c r="C85" s="7">
        <f t="shared" ref="C85:D89" si="12" xml:space="preserve"> (C40-D4)/14.52</f>
        <v>2.1418732782369151E-2</v>
      </c>
      <c r="D85" s="7">
        <f t="shared" si="12"/>
        <v>3.5812672176308573E-3</v>
      </c>
      <c r="E85" s="7">
        <f xml:space="preserve"> (E40-E4)/14.52</f>
        <v>1.997245179063362E-2</v>
      </c>
      <c r="F85" s="7">
        <f xml:space="preserve"> (F40-F4)/14.52</f>
        <v>5.9917355371900804E-3</v>
      </c>
      <c r="G85" s="7"/>
      <c r="H85" s="7"/>
      <c r="I85" s="7"/>
      <c r="J85" s="7"/>
      <c r="K85" s="7"/>
      <c r="L85" s="7"/>
      <c r="M85" s="7"/>
      <c r="N85" s="7"/>
      <c r="O85" s="7"/>
      <c r="P85" s="7"/>
    </row>
    <row r="86" spans="1:16" x14ac:dyDescent="0.2">
      <c r="A86" s="4">
        <v>2</v>
      </c>
      <c r="B86" s="5">
        <v>60</v>
      </c>
      <c r="C86" s="7">
        <f t="shared" si="12"/>
        <v>2.1005509641873289E-2</v>
      </c>
      <c r="D86" s="7">
        <f t="shared" si="12"/>
        <v>2.8925619834710694E-3</v>
      </c>
      <c r="E86" s="7">
        <f t="shared" ref="E86:F89" si="13" xml:space="preserve"> (E41-E5)/14.52</f>
        <v>1.7906336088154264E-2</v>
      </c>
      <c r="F86" s="7">
        <f t="shared" si="13"/>
        <v>3.2369146005509597E-3</v>
      </c>
      <c r="G86" s="7"/>
      <c r="H86" s="7"/>
      <c r="I86" s="7"/>
      <c r="J86" s="7"/>
      <c r="K86" s="7"/>
      <c r="L86" s="7"/>
      <c r="M86" s="7"/>
      <c r="N86" s="7"/>
      <c r="O86" s="7"/>
      <c r="P86" s="7"/>
    </row>
    <row r="87" spans="1:16" x14ac:dyDescent="0.2">
      <c r="A87" s="4">
        <v>3</v>
      </c>
      <c r="B87" s="5">
        <v>60</v>
      </c>
      <c r="C87" s="7">
        <f t="shared" si="12"/>
        <v>2.15564738292011E-2</v>
      </c>
      <c r="D87" s="7">
        <f t="shared" si="12"/>
        <v>2.8236914600550914E-3</v>
      </c>
      <c r="E87" s="7">
        <f t="shared" si="13"/>
        <v>1.9008264462809912E-2</v>
      </c>
      <c r="F87" s="7">
        <f t="shared" si="13"/>
        <v>2.9614325068870475E-3</v>
      </c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1:16" x14ac:dyDescent="0.2">
      <c r="A88" s="4">
        <v>4</v>
      </c>
      <c r="B88" s="5">
        <v>60</v>
      </c>
      <c r="C88" s="7">
        <f t="shared" si="12"/>
        <v>2.1969696969696959E-2</v>
      </c>
      <c r="D88" s="7">
        <f t="shared" si="12"/>
        <v>3.3057851239669377E-3</v>
      </c>
      <c r="E88" s="7">
        <f t="shared" si="13"/>
        <v>1.728650137741046E-2</v>
      </c>
      <c r="F88" s="7">
        <f t="shared" si="13"/>
        <v>2.1349862258953113E-3</v>
      </c>
      <c r="G88" s="7"/>
      <c r="H88" s="7"/>
      <c r="I88" s="7"/>
      <c r="J88" s="7"/>
      <c r="K88" s="7"/>
      <c r="L88" s="7"/>
      <c r="M88" s="7"/>
      <c r="N88" s="7"/>
      <c r="O88" s="7"/>
      <c r="P88" s="7"/>
    </row>
    <row r="89" spans="1:16" x14ac:dyDescent="0.2">
      <c r="A89" s="4">
        <v>5</v>
      </c>
      <c r="B89" s="5">
        <v>60</v>
      </c>
      <c r="C89" s="7">
        <f t="shared" si="12"/>
        <v>1.9903581267217627E-2</v>
      </c>
      <c r="D89" s="7">
        <f t="shared" si="12"/>
        <v>2.9614325068870475E-3</v>
      </c>
      <c r="E89" s="7">
        <f t="shared" si="13"/>
        <v>1.7768595041322315E-2</v>
      </c>
      <c r="F89" s="7">
        <f t="shared" si="13"/>
        <v>1.8595041322313991E-3</v>
      </c>
      <c r="G89" s="7"/>
      <c r="H89" s="7"/>
      <c r="I89" s="7"/>
      <c r="J89" s="7"/>
      <c r="K89" s="7"/>
      <c r="L89" s="7"/>
      <c r="M89" s="7"/>
      <c r="N89" s="7"/>
      <c r="O89" s="7"/>
      <c r="P89" s="7"/>
    </row>
    <row r="90" spans="1:16" x14ac:dyDescent="0.2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 x14ac:dyDescent="0.2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 x14ac:dyDescent="0.2">
      <c r="A92" s="8" t="s">
        <v>4</v>
      </c>
      <c r="B92" s="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ht="34" x14ac:dyDescent="0.2">
      <c r="A93" s="2"/>
      <c r="B93" s="3" t="s">
        <v>2</v>
      </c>
      <c r="C93" s="3" t="s">
        <v>17</v>
      </c>
      <c r="D93" s="3" t="s">
        <v>18</v>
      </c>
      <c r="E93" s="3" t="s">
        <v>19</v>
      </c>
      <c r="F93" s="3" t="s">
        <v>20</v>
      </c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4"/>
      <c r="B94" s="5">
        <v>0</v>
      </c>
      <c r="C94" s="7">
        <f xml:space="preserve"> AVERAGE(C49:C53)</f>
        <v>0</v>
      </c>
      <c r="D94" s="7">
        <f xml:space="preserve"> AVERAGE(D49:D53)</f>
        <v>0</v>
      </c>
      <c r="E94" s="7">
        <f xml:space="preserve"> AVERAGE(E49:E53)</f>
        <v>0</v>
      </c>
      <c r="F94" s="7">
        <f xml:space="preserve"> AVERAGE(F49:F53)</f>
        <v>0</v>
      </c>
      <c r="G94" s="7"/>
      <c r="H94" s="7"/>
      <c r="I94" s="7"/>
      <c r="J94" s="7"/>
      <c r="K94" s="7"/>
      <c r="L94" s="7"/>
      <c r="M94" s="7"/>
      <c r="N94" s="7"/>
      <c r="O94" s="7"/>
      <c r="P94" s="7"/>
    </row>
    <row r="95" spans="1:16" x14ac:dyDescent="0.2">
      <c r="A95" s="4"/>
      <c r="B95" s="5">
        <v>10</v>
      </c>
      <c r="C95" s="7">
        <f xml:space="preserve"> AVERAGE(C55:C59)</f>
        <v>4.104683195592285E-3</v>
      </c>
      <c r="D95" s="7">
        <f xml:space="preserve"> AVERAGE(D55:D59)</f>
        <v>1.0743801652892512E-3</v>
      </c>
      <c r="E95" s="7">
        <f xml:space="preserve"> AVERAGE(E55:E59)</f>
        <v>6.6391184573002752E-3</v>
      </c>
      <c r="F95" s="7">
        <f xml:space="preserve"> AVERAGE(F55:F59)</f>
        <v>1.8044077134986164E-3</v>
      </c>
      <c r="G95" s="7"/>
      <c r="H95" s="7"/>
      <c r="I95" s="7"/>
      <c r="J95" s="7"/>
      <c r="K95" s="7"/>
      <c r="L95" s="7"/>
      <c r="M95" s="7"/>
      <c r="N95" s="7"/>
      <c r="O95" s="7"/>
      <c r="P95" s="7"/>
    </row>
    <row r="96" spans="1:16" x14ac:dyDescent="0.2">
      <c r="A96" s="4"/>
      <c r="B96" s="5">
        <v>20</v>
      </c>
      <c r="C96" s="7">
        <f xml:space="preserve"> AVERAGE(C61:C65)</f>
        <v>7.7685950413223168E-3</v>
      </c>
      <c r="D96" s="7">
        <f xml:space="preserve"> AVERAGE(D61:D65)</f>
        <v>1.942148760330574E-3</v>
      </c>
      <c r="E96" s="7">
        <f xml:space="preserve"> AVERAGE(E61:E65)</f>
        <v>8.801652892561981E-3</v>
      </c>
      <c r="F96" s="7">
        <f xml:space="preserve"> AVERAGE(F61:F65)</f>
        <v>2.6033057851239617E-3</v>
      </c>
      <c r="G96" s="7"/>
      <c r="H96" s="7"/>
      <c r="I96" s="7"/>
      <c r="J96" s="7"/>
      <c r="K96" s="7"/>
      <c r="L96" s="7"/>
      <c r="M96" s="7"/>
      <c r="N96" s="7"/>
      <c r="O96" s="7"/>
      <c r="P96" s="7"/>
    </row>
    <row r="97" spans="1:16" x14ac:dyDescent="0.2">
      <c r="A97" s="4"/>
      <c r="B97" s="5">
        <v>30</v>
      </c>
      <c r="C97" s="7">
        <f xml:space="preserve"> AVERAGE(C67:C71)</f>
        <v>1.0027548209366388E-2</v>
      </c>
      <c r="D97" s="7">
        <f xml:space="preserve"> AVERAGE(D67:D71)</f>
        <v>2.3415977961432468E-3</v>
      </c>
      <c r="E97" s="7">
        <f xml:space="preserve"> AVERAGE(E67:E71)</f>
        <v>1.0454545454545449E-2</v>
      </c>
      <c r="F97" s="7">
        <f xml:space="preserve"> AVERAGE(F67:F71)</f>
        <v>2.8236914600550914E-3</v>
      </c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 x14ac:dyDescent="0.2">
      <c r="A98" s="4"/>
      <c r="B98" s="5">
        <v>40</v>
      </c>
      <c r="C98" s="7">
        <f xml:space="preserve"> AVERAGE(C73:C77)</f>
        <v>1.2672176308539942E-2</v>
      </c>
      <c r="D98" s="7">
        <f xml:space="preserve"> AVERAGE(D73:D77)</f>
        <v>2.6308539944903545E-3</v>
      </c>
      <c r="E98" s="7">
        <f xml:space="preserve"> AVERAGE(E73:E77)</f>
        <v>1.2355371900826445E-2</v>
      </c>
      <c r="F98" s="7">
        <f xml:space="preserve"> AVERAGE(F73:F77)</f>
        <v>3.0440771349862211E-3</v>
      </c>
      <c r="G98" s="7"/>
      <c r="H98" s="7"/>
      <c r="I98" s="7"/>
      <c r="J98" s="7"/>
      <c r="K98" s="7"/>
      <c r="L98" s="7"/>
      <c r="M98" s="7"/>
      <c r="N98" s="7"/>
      <c r="O98" s="7"/>
      <c r="P98" s="7"/>
    </row>
    <row r="99" spans="1:16" x14ac:dyDescent="0.2">
      <c r="A99" s="4"/>
      <c r="B99" s="5">
        <v>50</v>
      </c>
      <c r="C99" s="7">
        <f xml:space="preserve"> AVERAGE(C79:C83)</f>
        <v>1.5895316804407714E-2</v>
      </c>
      <c r="D99" s="7">
        <f xml:space="preserve"> AVERAGE(D79:D83)</f>
        <v>2.8925619834710712E-3</v>
      </c>
      <c r="E99" s="7">
        <f xml:space="preserve"> AVERAGE(E79:E83)</f>
        <v>1.4917355371900823E-2</v>
      </c>
      <c r="F99" s="7">
        <f xml:space="preserve"> AVERAGE(F79:F83)</f>
        <v>3.1680440771349816E-3</v>
      </c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spans="1:16" x14ac:dyDescent="0.2">
      <c r="A100" s="4"/>
      <c r="B100" s="5">
        <v>60</v>
      </c>
      <c r="C100" s="7">
        <f xml:space="preserve"> AVERAGE(C85:C89)</f>
        <v>2.1170798898071625E-2</v>
      </c>
      <c r="D100" s="7">
        <f xml:space="preserve"> AVERAGE(D85:D89)</f>
        <v>3.1129476584022008E-3</v>
      </c>
      <c r="E100" s="7">
        <f xml:space="preserve"> AVERAGE(E85:E89)</f>
        <v>1.8388429752066116E-2</v>
      </c>
      <c r="F100" s="7">
        <f xml:space="preserve"> AVERAGE(F85:F89)</f>
        <v>3.2369146005509592E-3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x14ac:dyDescent="0.2">
      <c r="A101" s="4"/>
      <c r="B101" s="5"/>
      <c r="C101" s="5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spans="1:16" x14ac:dyDescent="0.2">
      <c r="A102" s="4"/>
      <c r="B102" s="5"/>
      <c r="C102" s="5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spans="1:16" x14ac:dyDescent="0.2">
      <c r="A103" s="8" t="s">
        <v>5</v>
      </c>
      <c r="B103" s="8"/>
      <c r="C103" s="3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1:16" ht="34" x14ac:dyDescent="0.2">
      <c r="A104" s="2"/>
      <c r="B104" s="3" t="s">
        <v>2</v>
      </c>
      <c r="C104" s="3" t="s">
        <v>17</v>
      </c>
      <c r="D104" s="3" t="s">
        <v>18</v>
      </c>
      <c r="E104" s="3" t="s">
        <v>19</v>
      </c>
      <c r="F104" s="3" t="s">
        <v>20</v>
      </c>
      <c r="G104" s="3"/>
      <c r="H104" s="9"/>
      <c r="I104" s="9"/>
      <c r="J104" s="9"/>
      <c r="K104" s="9"/>
      <c r="L104" s="9"/>
      <c r="M104" s="9"/>
      <c r="N104" s="9"/>
      <c r="O104" s="9"/>
      <c r="P104" s="9"/>
    </row>
    <row r="105" spans="1:16" x14ac:dyDescent="0.2">
      <c r="A105" s="4"/>
      <c r="B105" s="5">
        <v>0</v>
      </c>
      <c r="C105" s="7">
        <f xml:space="preserve"> STDEV(C49:C53)*32.258/AVERAGE(D4:D8)</f>
        <v>0</v>
      </c>
      <c r="D105" s="7">
        <f xml:space="preserve"> STDEV(D49:D53)*32.258/AVERAGE(E4:E8)</f>
        <v>0</v>
      </c>
      <c r="E105" s="7">
        <f xml:space="preserve"> STDEV(E49:E53)*32.258/AVERAGE(E4:E8)</f>
        <v>0</v>
      </c>
      <c r="F105" s="7">
        <f xml:space="preserve"> STDEV(F49:F53)*32.258/AVERAGE(F4:F8)</f>
        <v>0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spans="1:16" x14ac:dyDescent="0.2">
      <c r="A106" s="4"/>
      <c r="B106" s="5">
        <v>10</v>
      </c>
      <c r="C106" s="7">
        <f xml:space="preserve"> STDEV(C55:C59)*32.258/AVERAGE(D4:D8)</f>
        <v>1.5646253885922438E-2</v>
      </c>
      <c r="D106" s="7">
        <f xml:space="preserve"> STDEV(D55:D59)*32.258/AVERAGE(E4:E8)</f>
        <v>9.2610349643640136E-3</v>
      </c>
      <c r="E106" s="7">
        <f xml:space="preserve"> STDEV(E55:E59)*32.258/AVERAGE(E4:E8)</f>
        <v>8.1726262488499325E-3</v>
      </c>
      <c r="F106" s="7">
        <f xml:space="preserve"> STDEV(F55:F59)*32.258/AVERAGE(F4:F8)</f>
        <v>5.7359758559104392E-2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spans="1:16" x14ac:dyDescent="0.2">
      <c r="A107" s="4"/>
      <c r="B107" s="5">
        <v>20</v>
      </c>
      <c r="C107" s="7">
        <f xml:space="preserve"> STDEV(C61:C65)*32.258/AVERAGE(D4:D8)</f>
        <v>1.8367187888005416E-2</v>
      </c>
      <c r="D107" s="7">
        <f xml:space="preserve"> STDEV(D61:D65)*32.258/AVERAGE(E4:E8)</f>
        <v>2.4440363918504741E-2</v>
      </c>
      <c r="E107" s="7">
        <f xml:space="preserve"> STDEV(E61:E65)*32.258/AVERAGE(E4:E8)</f>
        <v>1.4499739059383515E-2</v>
      </c>
      <c r="F107" s="7">
        <f xml:space="preserve"> STDEV(F61:F65)*32.258/AVERAGE(F4:F8)</f>
        <v>7.9121081176277017E-2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spans="1:16" x14ac:dyDescent="0.2">
      <c r="A108" s="4"/>
      <c r="B108" s="5">
        <v>30</v>
      </c>
      <c r="C108" s="7">
        <f xml:space="preserve"> STDEV(C67:C71)*32.258/AVERAGE(D4:D8)</f>
        <v>1.1845472146768319E-2</v>
      </c>
      <c r="D108" s="7">
        <f xml:space="preserve"> STDEV(D67:D71)*32.258/AVERAGE(E4:E8)</f>
        <v>2.0151027380421967E-2</v>
      </c>
      <c r="E108" s="7">
        <f xml:space="preserve"> STDEV(E67:E71)*32.258/AVERAGE(E4:E8)</f>
        <v>1.6460931594995377E-2</v>
      </c>
      <c r="F108" s="7">
        <f xml:space="preserve"> STDEV(F67:F71)*32.258/AVERAGE(F4:F8)</f>
        <v>7.7046830311585837E-2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spans="1:16" x14ac:dyDescent="0.2">
      <c r="A109" s="4"/>
      <c r="B109" s="5">
        <v>40</v>
      </c>
      <c r="C109" s="7">
        <f xml:space="preserve"> STDEV(C73:C77)*32.258/AVERAGE(D4:D8)</f>
        <v>1.8629445467848869E-2</v>
      </c>
      <c r="D109" s="7">
        <f xml:space="preserve"> STDEV(D73:D77)*32.258/AVERAGE(E4:E8)</f>
        <v>1.6689884616084939E-2</v>
      </c>
      <c r="E109" s="7">
        <f xml:space="preserve"> STDEV(E73:E77)*32.258/AVERAGE(E4:E8)</f>
        <v>2.3667287314048102E-2</v>
      </c>
      <c r="F109" s="7">
        <f xml:space="preserve"> STDEV(F73:F77)*32.258/AVERAGE(F4:F8)</f>
        <v>7.0474787332463054E-2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</row>
    <row r="110" spans="1:16" x14ac:dyDescent="0.2">
      <c r="A110" s="4"/>
      <c r="B110" s="5">
        <v>50</v>
      </c>
      <c r="C110" s="7">
        <f xml:space="preserve"> STDEV(C79:C83)*32.258/AVERAGE(D4:D8)</f>
        <v>1.301626493886284E-2</v>
      </c>
      <c r="D110" s="7">
        <f xml:space="preserve"> STDEV(D79:D83)*32.258/AVERAGE(E4:E8)</f>
        <v>1.4707631230375166E-2</v>
      </c>
      <c r="E110" s="7">
        <f xml:space="preserve"> STDEV(E79:E83)*32.258/AVERAGE(E4:E8)</f>
        <v>3.5581014382043134E-2</v>
      </c>
      <c r="F110" s="7">
        <f xml:space="preserve"> STDEV(F79:F83)*32.258/AVERAGE(F4:F8)</f>
        <v>6.8912780011038899E-2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</row>
    <row r="111" spans="1:16" x14ac:dyDescent="0.2">
      <c r="A111" s="4"/>
      <c r="B111" s="5">
        <v>60</v>
      </c>
      <c r="C111" s="7">
        <f xml:space="preserve"> STDEV(C85:C89)*32.258/AVERAGE(D4:D8)</f>
        <v>3.1244769364533576E-2</v>
      </c>
      <c r="D111" s="7">
        <f xml:space="preserve"> STDEV(D85:D89)*32.258/AVERAGE(E4:E8)</f>
        <v>1.283364935049819E-2</v>
      </c>
      <c r="E111" s="7">
        <f xml:space="preserve"> STDEV(E85:E89)*32.258/AVERAGE(E4:E8)</f>
        <v>4.3473036485332066E-2</v>
      </c>
      <c r="F111" s="7">
        <f xml:space="preserve"> STDEV(F85:F89)*32.258/AVERAGE(F4:F8)</f>
        <v>6.5642750687385482E-2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</row>
    <row r="112" spans="1:16" x14ac:dyDescent="0.2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 x14ac:dyDescent="0.2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 x14ac:dyDescent="0.2">
      <c r="A114" s="8" t="s">
        <v>6</v>
      </c>
      <c r="B114" s="8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ht="34" x14ac:dyDescent="0.2">
      <c r="A115" s="2"/>
      <c r="B115" s="3" t="s">
        <v>2</v>
      </c>
      <c r="C115" s="3" t="s">
        <v>17</v>
      </c>
      <c r="D115" s="3" t="s">
        <v>18</v>
      </c>
      <c r="E115" s="3" t="s">
        <v>19</v>
      </c>
      <c r="F115" s="3" t="s">
        <v>20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4"/>
      <c r="B116" s="5">
        <v>0</v>
      </c>
      <c r="C116" s="7">
        <f>AVERAGE(C49:C53)*32.258/AVERAGE(D4:D8)</f>
        <v>0</v>
      </c>
      <c r="D116" s="7">
        <f>AVERAGE(D49:D53)*32.258/AVERAGE(E4:E8)</f>
        <v>0</v>
      </c>
      <c r="E116" s="7">
        <f>AVERAGE(E49:E53)*32.258/AVERAGE(E4:E8)</f>
        <v>0</v>
      </c>
      <c r="F116" s="7">
        <f>AVERAGE(F49:F53)*32.258/AVERAGE(F4:F8)</f>
        <v>0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</row>
    <row r="117" spans="1:16" x14ac:dyDescent="0.2">
      <c r="A117" s="4"/>
      <c r="B117" s="5">
        <v>10</v>
      </c>
      <c r="C117" s="7">
        <f>AVERAGE(C55:C59)*32.258/AVERAGE(D4:D8)</f>
        <v>0.16282448416553849</v>
      </c>
      <c r="D117" s="7">
        <f>AVERAGE(D55:D59)*32.258/AVERAGE(E4:E8)</f>
        <v>4.2977871244916505E-2</v>
      </c>
      <c r="E117" s="7">
        <f>AVERAGE(E55:E59)*32.258/AVERAGE(E4:E8)</f>
        <v>0.26558120435961347</v>
      </c>
      <c r="F117" s="7">
        <f>AVERAGE(F55:F59)*32.258/AVERAGE(F4:F8)</f>
        <v>7.216288621626378E-2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spans="1:16" x14ac:dyDescent="0.2">
      <c r="A118" s="4"/>
      <c r="B118" s="5">
        <v>20</v>
      </c>
      <c r="C118" s="7">
        <f>AVERAGE(C61:C65)*32.258/AVERAGE(D4:D8)</f>
        <v>0.30816445996430797</v>
      </c>
      <c r="D118" s="7">
        <f>AVERAGE(D61:D65)*32.258/AVERAGE(E4:E8)</f>
        <v>7.769076725042616E-2</v>
      </c>
      <c r="E118" s="7">
        <f>AVERAGE(E61:E65)*32.258/AVERAGE(E4:E8)</f>
        <v>0.35208794519874059</v>
      </c>
      <c r="F118" s="7">
        <f>AVERAGE(F61:F65)*32.258/AVERAGE(F4:F8)</f>
        <v>0.10411286637308301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spans="1:16" x14ac:dyDescent="0.2">
      <c r="A119" s="4"/>
      <c r="B119" s="5">
        <v>30</v>
      </c>
      <c r="C119" s="7">
        <f>AVERAGE(C67:C71)*32.258/AVERAGE(D4:D8)</f>
        <v>0.39777256534400013</v>
      </c>
      <c r="D119" s="7">
        <f>AVERAGE(D67:D71)*32.258/AVERAGE(E4:E8)</f>
        <v>9.3669719379946489E-2</v>
      </c>
      <c r="E119" s="7">
        <f>AVERAGE(E67:E71)*32.258/AVERAGE(E4:E8)</f>
        <v>0.41820774711399694</v>
      </c>
      <c r="F119" s="7">
        <f>AVERAGE(F67:F71)*32.258/AVERAGE(F4:F8)</f>
        <v>0.11292665400255038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spans="1:16" x14ac:dyDescent="0.2">
      <c r="A120" s="4"/>
      <c r="B120" s="5">
        <v>40</v>
      </c>
      <c r="C120" s="7">
        <f>AVERAGE(C73:C77)*32.258/AVERAGE(D4:D8)</f>
        <v>0.5026796155446156</v>
      </c>
      <c r="D120" s="7">
        <f>AVERAGE(D73:D77)*32.258/AVERAGE(E4:E8)</f>
        <v>0.1052406847151164</v>
      </c>
      <c r="E120" s="7">
        <f>AVERAGE(E73:E77)*32.258/AVERAGE(E4:E8)</f>
        <v>0.49424551931654204</v>
      </c>
      <c r="F120" s="7">
        <f>AVERAGE(F73:F77)*32.258/AVERAGE(F4:F8)</f>
        <v>0.12174044163201773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spans="1:16" x14ac:dyDescent="0.2">
      <c r="A121" s="4"/>
      <c r="B121" s="5">
        <v>50</v>
      </c>
      <c r="C121" s="7">
        <f>AVERAGE(C79:C83)*32.258/AVERAGE(D4:D8)</f>
        <v>0.63053508297661587</v>
      </c>
      <c r="D121" s="7">
        <f>AVERAGE(D79:D83)*32.258/AVERAGE(E4:E8)</f>
        <v>0.11570965335169868</v>
      </c>
      <c r="E121" s="7">
        <f>AVERAGE(E79:E83)*32.258/AVERAGE(E4:E8)</f>
        <v>0.59673121228518944</v>
      </c>
      <c r="F121" s="7">
        <f>AVERAGE(F79:F83)*32.258/AVERAGE(F4:F8)</f>
        <v>0.12669819717359315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spans="1:16" ht="17" x14ac:dyDescent="0.2">
      <c r="A122" s="4"/>
      <c r="B122" s="5">
        <v>60</v>
      </c>
      <c r="C122" s="7">
        <f>AVERAGE(C85:C89)*32.258/AVERAGE(D4:D8)</f>
        <v>0.83980279249138523</v>
      </c>
      <c r="D122" s="7">
        <f>AVERAGE(D85:D89)*32.258/AVERAGE(E4:E8)</f>
        <v>0.12452562694039955</v>
      </c>
      <c r="E122" s="7">
        <f>AVERAGE(E85:E89)*32.258/AVERAGE(E4:E8)</f>
        <v>0.73558279630722823</v>
      </c>
      <c r="F122" s="7">
        <f>AVERAGE(F85:F89)*32.258/AVERAGE(F4:F8)</f>
        <v>0.12945250580780168</v>
      </c>
      <c r="G122" s="7"/>
      <c r="H122" s="7" t="s">
        <v>21</v>
      </c>
      <c r="I122" s="7"/>
      <c r="J122" s="7"/>
      <c r="K122" s="7"/>
      <c r="L122" s="7"/>
      <c r="M122" s="7"/>
      <c r="N122" s="7"/>
      <c r="O122" s="7"/>
      <c r="P122" s="7"/>
    </row>
    <row r="123" spans="1:16" x14ac:dyDescent="0.2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5" spans="1:16" x14ac:dyDescent="0.2">
      <c r="A125" s="16" t="s">
        <v>22</v>
      </c>
      <c r="B125" s="16"/>
      <c r="C125" s="16"/>
      <c r="D125" s="16"/>
      <c r="E125" s="17"/>
      <c r="F125" s="18"/>
      <c r="G125" s="19"/>
    </row>
    <row r="126" spans="1:16" ht="34" x14ac:dyDescent="0.2">
      <c r="A126" s="19"/>
      <c r="B126" s="20" t="s">
        <v>2</v>
      </c>
      <c r="C126" s="3" t="s">
        <v>17</v>
      </c>
      <c r="D126" s="3" t="s">
        <v>18</v>
      </c>
      <c r="E126" s="3" t="s">
        <v>19</v>
      </c>
      <c r="F126" s="3" t="s">
        <v>20</v>
      </c>
      <c r="G126" s="20"/>
    </row>
    <row r="127" spans="1:16" x14ac:dyDescent="0.2">
      <c r="A127" s="21"/>
      <c r="B127" s="22">
        <v>0</v>
      </c>
      <c r="C127" s="23">
        <f>STDEV(C50:C54)*32.35/AVERAGE(C5:C9)</f>
        <v>0</v>
      </c>
      <c r="D127" s="23">
        <f>STDEV(D50:D54)*32.35/AVERAGE(D5:D9)</f>
        <v>0</v>
      </c>
      <c r="E127" s="23">
        <f>STDEV(E50:E54)*32.35/AVERAGE(E5:E9)</f>
        <v>0</v>
      </c>
      <c r="F127" s="23">
        <f>STDEV(F50:F54)*32.35/AVERAGE(F5:F9)</f>
        <v>0</v>
      </c>
      <c r="G127" s="23"/>
    </row>
    <row r="128" spans="1:16" x14ac:dyDescent="0.2">
      <c r="A128" s="21"/>
      <c r="B128" s="22">
        <v>10</v>
      </c>
      <c r="C128" s="23">
        <f>STDEV(C56:C60)*32.35/AVERAGE(C11:C15)</f>
        <v>9.185249099431185E-3</v>
      </c>
      <c r="D128" s="23">
        <f>STDEV(D56:D60)*32.35/AVERAGE(D11:D15)</f>
        <v>4.6472897928457844E-3</v>
      </c>
      <c r="E128" s="23">
        <f>STDEV(E56:E60)*32.35/AVERAGE(E11:E15)</f>
        <v>6.2299036828132098E-3</v>
      </c>
      <c r="F128" s="23">
        <f>STDEV(F56:F60)*32.35/AVERAGE(F11:F15)</f>
        <v>1.7937124959022777E-2</v>
      </c>
      <c r="G128" s="23"/>
    </row>
    <row r="129" spans="1:7" x14ac:dyDescent="0.2">
      <c r="A129" s="21"/>
      <c r="B129" s="22">
        <v>20</v>
      </c>
      <c r="C129" s="23">
        <f>STDEV(C62:C66)*32.35/AVERAGE(C17:C21)</f>
        <v>8.2225143552511828E-3</v>
      </c>
      <c r="D129" s="23">
        <f>STDEV(D62:D66)*32.35/AVERAGE(D17:D21)</f>
        <v>2.7404082690218479E-2</v>
      </c>
      <c r="E129" s="23">
        <f>STDEV(E62:E66)*32.35/AVERAGE(E17:E21)</f>
        <v>1.2123910533121628E-2</v>
      </c>
      <c r="F129" s="23">
        <f>STDEV(F62:F66)*32.35/AVERAGE(F17:F21)</f>
        <v>2.5561541887570264E-2</v>
      </c>
      <c r="G129" s="23"/>
    </row>
    <row r="130" spans="1:7" x14ac:dyDescent="0.2">
      <c r="A130" s="21"/>
      <c r="B130" s="22">
        <v>30</v>
      </c>
      <c r="C130" s="23">
        <f>STDEV(C68:C72)*32.35/AVERAGE(C23:C27)</f>
        <v>2.3268526710254187E-3</v>
      </c>
      <c r="D130" s="23">
        <f>STDEV(D68:D72)*32.35/AVERAGE(D23:D27)</f>
        <v>2.2190963838126753E-2</v>
      </c>
      <c r="E130" s="23">
        <f>STDEV(E68:E72)*32.35/AVERAGE(E23:E27)</f>
        <v>1.1901957904541398E-2</v>
      </c>
      <c r="F130" s="23">
        <f>STDEV(F68:F72)*32.35/AVERAGE(F23:F27)</f>
        <v>2.4270181659418195E-2</v>
      </c>
      <c r="G130" s="23"/>
    </row>
    <row r="131" spans="1:7" x14ac:dyDescent="0.2">
      <c r="A131" s="21"/>
      <c r="B131" s="22">
        <v>40</v>
      </c>
      <c r="C131" s="23">
        <f>STDEV(C74:C78)*32.35/AVERAGE(C29:C33)</f>
        <v>1.008172056079322E-2</v>
      </c>
      <c r="D131" s="23">
        <f>STDEV(D74:D78)*32.35/AVERAGE(D29:D33)</f>
        <v>1.5649446432581385E-2</v>
      </c>
      <c r="E131" s="23">
        <f>STDEV(E74:E78)*32.35/AVERAGE(E29:E33)</f>
        <v>1.2900727783007377E-2</v>
      </c>
      <c r="F131" s="23">
        <f>STDEV(F74:F78)*32.35/AVERAGE(F29:F33)</f>
        <v>2.7693323613382406E-2</v>
      </c>
      <c r="G131" s="23"/>
    </row>
    <row r="132" spans="1:7" x14ac:dyDescent="0.2">
      <c r="A132" s="21"/>
      <c r="B132" s="22">
        <v>50</v>
      </c>
      <c r="C132" s="23">
        <f>STDEV(C80:C84)*32.35/AVERAGE(C35:C39)</f>
        <v>6.3127438534814053E-3</v>
      </c>
      <c r="D132" s="23">
        <f>STDEV(D80:D84)*32.35/AVERAGE(D35:D39)</f>
        <v>1.2644884817445572E-2</v>
      </c>
      <c r="E132" s="23">
        <f>STDEV(E80:E84)*32.35/AVERAGE(E35:E39)</f>
        <v>2.1497792003086543E-2</v>
      </c>
      <c r="F132" s="23">
        <f>STDEV(F80:F84)*32.35/AVERAGE(F35:F39)</f>
        <v>2.6338011413780286E-2</v>
      </c>
      <c r="G132" s="23"/>
    </row>
    <row r="133" spans="1:7" x14ac:dyDescent="0.2">
      <c r="A133" s="21"/>
      <c r="B133" s="22">
        <v>60</v>
      </c>
      <c r="C133" s="23">
        <f>STDEV(C86:C90)*32.35/AVERAGE(C41:C45)</f>
        <v>2.5941333293855305E-2</v>
      </c>
      <c r="D133" s="23">
        <f>STDEV(D86:D90)*32.35/AVERAGE(D41:D45)</f>
        <v>8.1686481118924976E-3</v>
      </c>
      <c r="E133" s="23">
        <f>STDEV(E86:E90)*32.35/AVERAGE(E41:E45)</f>
        <v>2.2082690864322262E-2</v>
      </c>
      <c r="F133" s="23">
        <f>STDEV(F86:F90)*32.35/AVERAGE(F41:F45)</f>
        <v>2.5076165660838066E-2</v>
      </c>
      <c r="G133" s="23"/>
    </row>
  </sheetData>
  <mergeCells count="2">
    <mergeCell ref="A2:P2"/>
    <mergeCell ref="A47:P4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C2250-5D34-B040-9FCC-DF20636C09BE}">
  <dimension ref="A1:H421"/>
  <sheetViews>
    <sheetView zoomScale="75" workbookViewId="0">
      <selection sqref="A1:C421"/>
    </sheetView>
  </sheetViews>
  <sheetFormatPr baseColWidth="10" defaultRowHeight="16" x14ac:dyDescent="0.2"/>
  <cols>
    <col min="2" max="2" width="23.83203125" customWidth="1"/>
    <col min="3" max="3" width="15.6640625" customWidth="1"/>
  </cols>
  <sheetData>
    <row r="1" spans="1:3" x14ac:dyDescent="0.2">
      <c r="A1" s="25" t="s">
        <v>38</v>
      </c>
      <c r="B1" s="25" t="s">
        <v>39</v>
      </c>
      <c r="C1" s="25" t="s">
        <v>50</v>
      </c>
    </row>
    <row r="2" spans="1:3" x14ac:dyDescent="0.2">
      <c r="A2" s="4">
        <v>0</v>
      </c>
      <c r="B2" s="26" t="s">
        <v>40</v>
      </c>
      <c r="C2" s="10">
        <v>0.32800000000000001</v>
      </c>
    </row>
    <row r="3" spans="1:3" x14ac:dyDescent="0.2">
      <c r="A3" s="4">
        <v>0</v>
      </c>
      <c r="B3" s="26" t="s">
        <v>40</v>
      </c>
      <c r="C3" s="10">
        <v>0.33200000000000002</v>
      </c>
    </row>
    <row r="4" spans="1:3" x14ac:dyDescent="0.2">
      <c r="A4" s="4">
        <v>0</v>
      </c>
      <c r="B4" s="26" t="s">
        <v>40</v>
      </c>
      <c r="C4" s="10">
        <v>0.33</v>
      </c>
    </row>
    <row r="5" spans="1:3" x14ac:dyDescent="0.2">
      <c r="A5" s="4">
        <v>0</v>
      </c>
      <c r="B5" s="26" t="s">
        <v>40</v>
      </c>
      <c r="C5" s="10">
        <v>0.32100000000000001</v>
      </c>
    </row>
    <row r="6" spans="1:3" x14ac:dyDescent="0.2">
      <c r="A6" s="4">
        <v>0</v>
      </c>
      <c r="B6" s="26" t="s">
        <v>40</v>
      </c>
      <c r="C6" s="10">
        <v>0.33800000000000002</v>
      </c>
    </row>
    <row r="7" spans="1:3" x14ac:dyDescent="0.2">
      <c r="A7" s="5">
        <v>10</v>
      </c>
      <c r="B7" s="26" t="s">
        <v>40</v>
      </c>
      <c r="C7" s="10">
        <v>0.44900000000000001</v>
      </c>
    </row>
    <row r="8" spans="1:3" x14ac:dyDescent="0.2">
      <c r="A8" s="5">
        <v>10</v>
      </c>
      <c r="B8" s="26" t="s">
        <v>40</v>
      </c>
      <c r="C8" s="10">
        <v>0.45100000000000001</v>
      </c>
    </row>
    <row r="9" spans="1:3" x14ac:dyDescent="0.2">
      <c r="A9" s="5">
        <v>10</v>
      </c>
      <c r="B9" s="26" t="s">
        <v>40</v>
      </c>
      <c r="C9" s="10">
        <v>0.45800000000000002</v>
      </c>
    </row>
    <row r="10" spans="1:3" x14ac:dyDescent="0.2">
      <c r="A10" s="5">
        <v>10</v>
      </c>
      <c r="B10" s="26" t="s">
        <v>40</v>
      </c>
      <c r="C10" s="10">
        <v>0.437</v>
      </c>
    </row>
    <row r="11" spans="1:3" x14ac:dyDescent="0.2">
      <c r="A11" s="5">
        <v>10</v>
      </c>
      <c r="B11" s="26" t="s">
        <v>40</v>
      </c>
      <c r="C11" s="10">
        <v>0.46100000000000002</v>
      </c>
    </row>
    <row r="12" spans="1:3" x14ac:dyDescent="0.2">
      <c r="A12" s="5">
        <v>20</v>
      </c>
      <c r="B12" s="26" t="s">
        <v>40</v>
      </c>
      <c r="C12" s="10">
        <v>0.46500000000000002</v>
      </c>
    </row>
    <row r="13" spans="1:3" x14ac:dyDescent="0.2">
      <c r="A13" s="5">
        <v>20</v>
      </c>
      <c r="B13" s="26" t="s">
        <v>40</v>
      </c>
      <c r="C13" s="10">
        <v>0.46300000000000002</v>
      </c>
    </row>
    <row r="14" spans="1:3" x14ac:dyDescent="0.2">
      <c r="A14" s="5">
        <v>20</v>
      </c>
      <c r="B14" s="26" t="s">
        <v>40</v>
      </c>
      <c r="C14" s="10">
        <v>0.46300000000000002</v>
      </c>
    </row>
    <row r="15" spans="1:3" x14ac:dyDescent="0.2">
      <c r="A15" s="5">
        <v>20</v>
      </c>
      <c r="B15" s="26" t="s">
        <v>40</v>
      </c>
      <c r="C15" s="10">
        <v>0.44700000000000001</v>
      </c>
    </row>
    <row r="16" spans="1:3" x14ac:dyDescent="0.2">
      <c r="A16" s="5">
        <v>20</v>
      </c>
      <c r="B16" s="26" t="s">
        <v>40</v>
      </c>
      <c r="C16" s="10">
        <v>0.48099999999999998</v>
      </c>
    </row>
    <row r="17" spans="1:8" x14ac:dyDescent="0.2">
      <c r="A17" s="5">
        <v>30</v>
      </c>
      <c r="B17" s="26" t="s">
        <v>40</v>
      </c>
      <c r="C17" s="10">
        <v>0.47399999999999998</v>
      </c>
    </row>
    <row r="18" spans="1:8" x14ac:dyDescent="0.2">
      <c r="A18" s="5">
        <v>30</v>
      </c>
      <c r="B18" s="26" t="s">
        <v>40</v>
      </c>
      <c r="C18" s="10">
        <v>0.47199999999999998</v>
      </c>
    </row>
    <row r="19" spans="1:8" x14ac:dyDescent="0.2">
      <c r="A19" s="5">
        <v>30</v>
      </c>
      <c r="B19" s="26" t="s">
        <v>40</v>
      </c>
      <c r="C19" s="10">
        <v>0.47799999999999998</v>
      </c>
    </row>
    <row r="20" spans="1:8" x14ac:dyDescent="0.2">
      <c r="A20" s="5">
        <v>30</v>
      </c>
      <c r="B20" s="26" t="s">
        <v>40</v>
      </c>
      <c r="C20" s="10">
        <v>0.46300000000000002</v>
      </c>
    </row>
    <row r="21" spans="1:8" x14ac:dyDescent="0.2">
      <c r="A21" s="5">
        <v>30</v>
      </c>
      <c r="B21" s="26" t="s">
        <v>40</v>
      </c>
      <c r="C21" s="10">
        <v>0.497</v>
      </c>
    </row>
    <row r="22" spans="1:8" x14ac:dyDescent="0.2">
      <c r="A22" s="5">
        <v>40</v>
      </c>
      <c r="B22" s="26" t="s">
        <v>40</v>
      </c>
      <c r="C22" s="10">
        <v>0.47699999999999998</v>
      </c>
    </row>
    <row r="23" spans="1:8" x14ac:dyDescent="0.2">
      <c r="A23" s="5">
        <v>40</v>
      </c>
      <c r="B23" s="26" t="s">
        <v>40</v>
      </c>
      <c r="C23" s="10">
        <v>0.47399999999999998</v>
      </c>
    </row>
    <row r="24" spans="1:8" x14ac:dyDescent="0.2">
      <c r="A24" s="5">
        <v>40</v>
      </c>
      <c r="B24" s="26" t="s">
        <v>40</v>
      </c>
      <c r="C24" s="10">
        <v>0.48699999999999999</v>
      </c>
      <c r="F24" s="26"/>
      <c r="G24" s="26"/>
      <c r="H24" s="27"/>
    </row>
    <row r="25" spans="1:8" x14ac:dyDescent="0.2">
      <c r="A25" s="5">
        <v>40</v>
      </c>
      <c r="B25" s="26" t="s">
        <v>40</v>
      </c>
      <c r="C25" s="10">
        <v>0.46500000000000002</v>
      </c>
      <c r="F25" s="26"/>
      <c r="G25" s="26"/>
      <c r="H25" s="27"/>
    </row>
    <row r="26" spans="1:8" x14ac:dyDescent="0.2">
      <c r="A26" s="5">
        <v>40</v>
      </c>
      <c r="B26" s="26" t="s">
        <v>40</v>
      </c>
      <c r="C26" s="10">
        <v>0.502</v>
      </c>
      <c r="F26" s="26"/>
      <c r="G26" s="26"/>
      <c r="H26" s="27"/>
    </row>
    <row r="27" spans="1:8" x14ac:dyDescent="0.2">
      <c r="A27" s="5">
        <v>50</v>
      </c>
      <c r="B27" s="26" t="s">
        <v>40</v>
      </c>
      <c r="C27" s="10">
        <v>0.48799999999999999</v>
      </c>
      <c r="F27" s="26"/>
      <c r="G27" s="26"/>
      <c r="H27" s="27"/>
    </row>
    <row r="28" spans="1:8" x14ac:dyDescent="0.2">
      <c r="A28" s="5">
        <v>50</v>
      </c>
      <c r="B28" s="26" t="s">
        <v>40</v>
      </c>
      <c r="C28" s="10">
        <v>0.48499999999999999</v>
      </c>
      <c r="F28" s="26"/>
      <c r="G28" s="26"/>
      <c r="H28" s="27"/>
    </row>
    <row r="29" spans="1:8" x14ac:dyDescent="0.2">
      <c r="A29" s="5">
        <v>50</v>
      </c>
      <c r="B29" s="26" t="s">
        <v>40</v>
      </c>
      <c r="C29" s="10">
        <v>0.501</v>
      </c>
      <c r="F29" s="26"/>
      <c r="G29" s="26"/>
      <c r="H29" s="27"/>
    </row>
    <row r="30" spans="1:8" x14ac:dyDescent="0.2">
      <c r="A30" s="5">
        <v>50</v>
      </c>
      <c r="B30" s="26" t="s">
        <v>40</v>
      </c>
      <c r="C30" s="10">
        <v>0.47</v>
      </c>
      <c r="F30" s="26"/>
      <c r="G30" s="26"/>
      <c r="H30" s="23"/>
    </row>
    <row r="31" spans="1:8" x14ac:dyDescent="0.2">
      <c r="A31" s="5">
        <v>50</v>
      </c>
      <c r="B31" s="26" t="s">
        <v>40</v>
      </c>
      <c r="C31" s="10">
        <v>0.50600000000000001</v>
      </c>
      <c r="F31" s="26"/>
      <c r="G31" s="26"/>
      <c r="H31" s="23"/>
    </row>
    <row r="32" spans="1:8" x14ac:dyDescent="0.2">
      <c r="A32" s="5">
        <v>60</v>
      </c>
      <c r="B32" s="26" t="s">
        <v>40</v>
      </c>
      <c r="C32" s="10">
        <v>0.496</v>
      </c>
      <c r="F32" s="26"/>
      <c r="G32" s="26"/>
      <c r="H32" s="23"/>
    </row>
    <row r="33" spans="1:8" x14ac:dyDescent="0.2">
      <c r="A33" s="5">
        <v>60</v>
      </c>
      <c r="B33" s="26" t="s">
        <v>40</v>
      </c>
      <c r="C33" s="10">
        <v>0.49</v>
      </c>
      <c r="F33" s="26"/>
      <c r="G33" s="26"/>
      <c r="H33" s="23"/>
    </row>
    <row r="34" spans="1:8" x14ac:dyDescent="0.2">
      <c r="A34" s="5">
        <v>60</v>
      </c>
      <c r="B34" s="26" t="s">
        <v>40</v>
      </c>
      <c r="C34" s="10">
        <v>0.505</v>
      </c>
      <c r="F34" s="26"/>
      <c r="G34" s="26"/>
      <c r="H34" s="23"/>
    </row>
    <row r="35" spans="1:8" x14ac:dyDescent="0.2">
      <c r="A35" s="5">
        <v>60</v>
      </c>
      <c r="B35" s="26" t="s">
        <v>40</v>
      </c>
      <c r="C35" s="10">
        <v>0.47699999999999998</v>
      </c>
      <c r="F35" s="26"/>
      <c r="G35" s="26"/>
      <c r="H35" s="23"/>
    </row>
    <row r="36" spans="1:8" x14ac:dyDescent="0.2">
      <c r="A36" s="5">
        <v>60</v>
      </c>
      <c r="B36" s="26" t="s">
        <v>40</v>
      </c>
      <c r="C36" s="10">
        <v>0.51600000000000001</v>
      </c>
      <c r="F36" s="26"/>
      <c r="G36" s="26"/>
      <c r="H36" s="23"/>
    </row>
    <row r="37" spans="1:8" x14ac:dyDescent="0.2">
      <c r="A37" s="4">
        <v>0</v>
      </c>
      <c r="B37" s="26" t="s">
        <v>41</v>
      </c>
      <c r="C37" s="10">
        <v>0.34100000000000003</v>
      </c>
      <c r="F37" s="26"/>
      <c r="G37" s="26"/>
      <c r="H37" s="27"/>
    </row>
    <row r="38" spans="1:8" x14ac:dyDescent="0.2">
      <c r="A38" s="4">
        <v>0</v>
      </c>
      <c r="B38" s="26" t="s">
        <v>41</v>
      </c>
      <c r="C38" s="10">
        <v>0.34</v>
      </c>
      <c r="F38" s="26"/>
      <c r="G38" s="26"/>
      <c r="H38" s="27"/>
    </row>
    <row r="39" spans="1:8" x14ac:dyDescent="0.2">
      <c r="A39" s="4">
        <v>0</v>
      </c>
      <c r="B39" s="26" t="s">
        <v>41</v>
      </c>
      <c r="C39" s="10">
        <v>0.33600000000000002</v>
      </c>
      <c r="F39" s="26"/>
      <c r="G39" s="26"/>
      <c r="H39" s="27"/>
    </row>
    <row r="40" spans="1:8" x14ac:dyDescent="0.2">
      <c r="A40" s="4">
        <v>0</v>
      </c>
      <c r="B40" s="26" t="s">
        <v>41</v>
      </c>
      <c r="C40" s="10">
        <v>0.33600000000000002</v>
      </c>
      <c r="F40" s="26"/>
      <c r="G40" s="26"/>
      <c r="H40" s="27"/>
    </row>
    <row r="41" spans="1:8" x14ac:dyDescent="0.2">
      <c r="A41" s="4">
        <v>0</v>
      </c>
      <c r="B41" s="26" t="s">
        <v>41</v>
      </c>
      <c r="C41" s="10">
        <v>0.33100000000000002</v>
      </c>
      <c r="F41" s="26"/>
      <c r="G41" s="26"/>
      <c r="H41" s="27"/>
    </row>
    <row r="42" spans="1:8" x14ac:dyDescent="0.2">
      <c r="A42" s="5">
        <v>10</v>
      </c>
      <c r="B42" s="26" t="s">
        <v>41</v>
      </c>
      <c r="C42" s="10">
        <v>0.47899999999999998</v>
      </c>
      <c r="F42" s="26"/>
      <c r="G42" s="26"/>
      <c r="H42" s="27"/>
    </row>
    <row r="43" spans="1:8" x14ac:dyDescent="0.2">
      <c r="A43" s="5">
        <v>10</v>
      </c>
      <c r="B43" s="26" t="s">
        <v>41</v>
      </c>
      <c r="C43" s="10">
        <v>0.54100000000000004</v>
      </c>
      <c r="F43" s="26"/>
      <c r="G43" s="26"/>
      <c r="H43" s="27"/>
    </row>
    <row r="44" spans="1:8" x14ac:dyDescent="0.2">
      <c r="A44" s="5">
        <v>10</v>
      </c>
      <c r="B44" s="26" t="s">
        <v>41</v>
      </c>
      <c r="C44" s="10">
        <v>0.61599999999999999</v>
      </c>
      <c r="F44" s="26"/>
      <c r="G44" s="26"/>
      <c r="H44" s="27"/>
    </row>
    <row r="45" spans="1:8" x14ac:dyDescent="0.2">
      <c r="A45" s="5">
        <v>10</v>
      </c>
      <c r="B45" s="26" t="s">
        <v>41</v>
      </c>
      <c r="C45" s="10">
        <v>0.46300000000000002</v>
      </c>
      <c r="F45" s="26"/>
      <c r="G45" s="26"/>
      <c r="H45" s="27"/>
    </row>
    <row r="46" spans="1:8" x14ac:dyDescent="0.2">
      <c r="A46" s="5">
        <v>10</v>
      </c>
      <c r="B46" s="26" t="s">
        <v>41</v>
      </c>
      <c r="C46" s="10">
        <v>0.504</v>
      </c>
      <c r="F46" s="26"/>
      <c r="G46" s="26"/>
      <c r="H46" s="27"/>
    </row>
    <row r="47" spans="1:8" x14ac:dyDescent="0.2">
      <c r="A47" s="5">
        <v>20</v>
      </c>
      <c r="B47" s="26" t="s">
        <v>41</v>
      </c>
      <c r="C47" s="10">
        <v>0.51900000000000002</v>
      </c>
      <c r="F47" s="26"/>
      <c r="G47" s="26"/>
      <c r="H47" s="27"/>
    </row>
    <row r="48" spans="1:8" x14ac:dyDescent="0.2">
      <c r="A48" s="5">
        <v>20</v>
      </c>
      <c r="B48" s="26" t="s">
        <v>41</v>
      </c>
      <c r="C48" s="10">
        <v>0.6</v>
      </c>
      <c r="F48" s="26"/>
      <c r="G48" s="26"/>
      <c r="H48" s="27"/>
    </row>
    <row r="49" spans="1:8" x14ac:dyDescent="0.2">
      <c r="A49" s="5">
        <v>20</v>
      </c>
      <c r="B49" s="26" t="s">
        <v>41</v>
      </c>
      <c r="C49" s="10">
        <v>0.63700000000000001</v>
      </c>
      <c r="F49" s="26"/>
      <c r="G49" s="26"/>
      <c r="H49" s="27"/>
    </row>
    <row r="50" spans="1:8" x14ac:dyDescent="0.2">
      <c r="A50" s="5">
        <v>20</v>
      </c>
      <c r="B50" s="26" t="s">
        <v>41</v>
      </c>
      <c r="C50" s="10">
        <v>0.48</v>
      </c>
      <c r="F50" s="26"/>
      <c r="G50" s="26"/>
      <c r="H50" s="27"/>
    </row>
    <row r="51" spans="1:8" x14ac:dyDescent="0.2">
      <c r="A51" s="5">
        <v>20</v>
      </c>
      <c r="B51" s="26" t="s">
        <v>41</v>
      </c>
      <c r="C51" s="10">
        <v>0.53300000000000003</v>
      </c>
      <c r="F51" s="26"/>
      <c r="G51" s="26"/>
      <c r="H51" s="27"/>
    </row>
    <row r="52" spans="1:8" x14ac:dyDescent="0.2">
      <c r="A52" s="5">
        <v>30</v>
      </c>
      <c r="B52" s="26" t="s">
        <v>41</v>
      </c>
      <c r="C52" s="10">
        <v>0.51800000000000002</v>
      </c>
      <c r="F52" s="26"/>
      <c r="G52" s="26"/>
      <c r="H52" s="27"/>
    </row>
    <row r="53" spans="1:8" x14ac:dyDescent="0.2">
      <c r="A53" s="5">
        <v>30</v>
      </c>
      <c r="B53" s="26" t="s">
        <v>41</v>
      </c>
      <c r="C53" s="10">
        <v>0.61199999999999999</v>
      </c>
      <c r="F53" s="26"/>
      <c r="G53" s="26"/>
      <c r="H53" s="27"/>
    </row>
    <row r="54" spans="1:8" x14ac:dyDescent="0.2">
      <c r="A54" s="5">
        <v>30</v>
      </c>
      <c r="B54" s="26" t="s">
        <v>41</v>
      </c>
      <c r="C54" s="10">
        <v>0.63800000000000001</v>
      </c>
      <c r="F54" s="26"/>
      <c r="G54" s="26"/>
      <c r="H54" s="27"/>
    </row>
    <row r="55" spans="1:8" x14ac:dyDescent="0.2">
      <c r="A55" s="5">
        <v>30</v>
      </c>
      <c r="B55" s="26" t="s">
        <v>41</v>
      </c>
      <c r="C55" s="10">
        <v>0.48199999999999998</v>
      </c>
      <c r="F55" s="26"/>
      <c r="G55" s="26"/>
      <c r="H55" s="27"/>
    </row>
    <row r="56" spans="1:8" x14ac:dyDescent="0.2">
      <c r="A56" s="5">
        <v>30</v>
      </c>
      <c r="B56" s="26" t="s">
        <v>41</v>
      </c>
      <c r="C56" s="10">
        <v>0.56000000000000005</v>
      </c>
      <c r="F56" s="26"/>
      <c r="G56" s="26"/>
      <c r="H56" s="27"/>
    </row>
    <row r="57" spans="1:8" x14ac:dyDescent="0.2">
      <c r="A57" s="5">
        <v>40</v>
      </c>
      <c r="B57" s="26" t="s">
        <v>41</v>
      </c>
      <c r="C57" s="10">
        <v>0.53400000000000003</v>
      </c>
      <c r="F57" s="26"/>
      <c r="G57" s="26"/>
      <c r="H57" s="27"/>
    </row>
    <row r="58" spans="1:8" x14ac:dyDescent="0.2">
      <c r="A58" s="5">
        <v>40</v>
      </c>
      <c r="B58" s="26" t="s">
        <v>41</v>
      </c>
      <c r="C58" s="10">
        <v>0.627</v>
      </c>
      <c r="F58" s="26"/>
      <c r="G58" s="26"/>
      <c r="H58" s="27"/>
    </row>
    <row r="59" spans="1:8" x14ac:dyDescent="0.2">
      <c r="A59" s="5">
        <v>40</v>
      </c>
      <c r="B59" s="26" t="s">
        <v>41</v>
      </c>
      <c r="C59" s="10">
        <v>0.65</v>
      </c>
      <c r="F59" s="26"/>
      <c r="G59" s="26"/>
      <c r="H59" s="27"/>
    </row>
    <row r="60" spans="1:8" x14ac:dyDescent="0.2">
      <c r="A60" s="5">
        <v>40</v>
      </c>
      <c r="B60" s="26" t="s">
        <v>41</v>
      </c>
      <c r="C60" s="10">
        <v>0.50800000000000001</v>
      </c>
      <c r="F60" s="26"/>
      <c r="G60" s="26"/>
      <c r="H60" s="27"/>
    </row>
    <row r="61" spans="1:8" x14ac:dyDescent="0.2">
      <c r="A61" s="5">
        <v>40</v>
      </c>
      <c r="B61" s="26" t="s">
        <v>41</v>
      </c>
      <c r="C61" s="10">
        <v>0.57299999999999995</v>
      </c>
      <c r="F61" s="26"/>
      <c r="G61" s="26"/>
      <c r="H61" s="27"/>
    </row>
    <row r="62" spans="1:8" x14ac:dyDescent="0.2">
      <c r="A62" s="5">
        <v>50</v>
      </c>
      <c r="B62" s="26" t="s">
        <v>41</v>
      </c>
      <c r="C62" s="10">
        <v>0.55200000000000005</v>
      </c>
      <c r="F62" s="26"/>
      <c r="G62" s="26"/>
      <c r="H62" s="27"/>
    </row>
    <row r="63" spans="1:8" x14ac:dyDescent="0.2">
      <c r="A63" s="5">
        <v>50</v>
      </c>
      <c r="B63" s="26" t="s">
        <v>41</v>
      </c>
      <c r="C63" s="10">
        <v>0.63100000000000001</v>
      </c>
      <c r="F63" s="26"/>
      <c r="G63" s="26"/>
      <c r="H63" s="27"/>
    </row>
    <row r="64" spans="1:8" x14ac:dyDescent="0.2">
      <c r="A64" s="5">
        <v>50</v>
      </c>
      <c r="B64" s="26" t="s">
        <v>41</v>
      </c>
      <c r="C64" s="10">
        <v>0.64600000000000002</v>
      </c>
      <c r="F64" s="26"/>
      <c r="G64" s="26"/>
      <c r="H64" s="27"/>
    </row>
    <row r="65" spans="1:8" x14ac:dyDescent="0.2">
      <c r="A65" s="5">
        <v>50</v>
      </c>
      <c r="B65" s="26" t="s">
        <v>41</v>
      </c>
      <c r="C65" s="10">
        <v>0.52</v>
      </c>
      <c r="F65" s="26"/>
      <c r="G65" s="26"/>
      <c r="H65" s="27"/>
    </row>
    <row r="66" spans="1:8" x14ac:dyDescent="0.2">
      <c r="A66" s="5">
        <v>50</v>
      </c>
      <c r="B66" s="26" t="s">
        <v>41</v>
      </c>
      <c r="C66" s="10">
        <v>0.58699999999999997</v>
      </c>
      <c r="F66" s="26"/>
      <c r="G66" s="26"/>
      <c r="H66" s="27"/>
    </row>
    <row r="67" spans="1:8" x14ac:dyDescent="0.2">
      <c r="A67" s="5">
        <v>60</v>
      </c>
      <c r="B67" s="26" t="s">
        <v>41</v>
      </c>
      <c r="C67" s="10">
        <v>0.56899999999999995</v>
      </c>
      <c r="F67" s="26"/>
      <c r="G67" s="26"/>
      <c r="H67" s="27"/>
    </row>
    <row r="68" spans="1:8" x14ac:dyDescent="0.2">
      <c r="A68" s="5">
        <v>60</v>
      </c>
      <c r="B68" s="26" t="s">
        <v>41</v>
      </c>
      <c r="C68" s="10">
        <v>0.63200000000000001</v>
      </c>
      <c r="F68" s="26"/>
      <c r="G68" s="26"/>
      <c r="H68" s="27"/>
    </row>
    <row r="69" spans="1:8" x14ac:dyDescent="0.2">
      <c r="A69" s="5">
        <v>60</v>
      </c>
      <c r="B69" s="26" t="s">
        <v>41</v>
      </c>
      <c r="C69" s="10">
        <v>0.65600000000000003</v>
      </c>
      <c r="F69" s="26"/>
      <c r="G69" s="26"/>
      <c r="H69" s="27"/>
    </row>
    <row r="70" spans="1:8" x14ac:dyDescent="0.2">
      <c r="A70" s="5">
        <v>60</v>
      </c>
      <c r="B70" s="26" t="s">
        <v>41</v>
      </c>
      <c r="C70" s="10">
        <v>0.53100000000000003</v>
      </c>
      <c r="F70" s="26"/>
      <c r="G70" s="26"/>
      <c r="H70" s="27"/>
    </row>
    <row r="71" spans="1:8" x14ac:dyDescent="0.2">
      <c r="A71" s="5">
        <v>60</v>
      </c>
      <c r="B71" s="26" t="s">
        <v>41</v>
      </c>
      <c r="C71" s="10">
        <v>0.60499999999999998</v>
      </c>
      <c r="F71" s="26"/>
      <c r="G71" s="26"/>
      <c r="H71" s="27"/>
    </row>
    <row r="72" spans="1:8" x14ac:dyDescent="0.2">
      <c r="A72" s="4">
        <v>0</v>
      </c>
      <c r="B72" s="26" t="s">
        <v>42</v>
      </c>
      <c r="C72" s="11">
        <v>0.33</v>
      </c>
      <c r="F72" s="26"/>
      <c r="G72" s="26"/>
      <c r="H72" s="23"/>
    </row>
    <row r="73" spans="1:8" x14ac:dyDescent="0.2">
      <c r="A73" s="4">
        <v>0</v>
      </c>
      <c r="B73" s="26" t="s">
        <v>42</v>
      </c>
      <c r="C73" s="11">
        <v>0.32500000000000001</v>
      </c>
      <c r="F73" s="26"/>
      <c r="G73" s="26"/>
      <c r="H73" s="23"/>
    </row>
    <row r="74" spans="1:8" x14ac:dyDescent="0.2">
      <c r="A74" s="4">
        <v>0</v>
      </c>
      <c r="B74" s="26" t="s">
        <v>42</v>
      </c>
      <c r="C74" s="11">
        <v>0.32</v>
      </c>
      <c r="F74" s="26"/>
      <c r="G74" s="26"/>
      <c r="H74" s="23"/>
    </row>
    <row r="75" spans="1:8" x14ac:dyDescent="0.2">
      <c r="A75" s="4">
        <v>0</v>
      </c>
      <c r="B75" s="26" t="s">
        <v>42</v>
      </c>
      <c r="C75" s="11">
        <v>0.32900000000000001</v>
      </c>
      <c r="F75" s="26"/>
      <c r="G75" s="26"/>
      <c r="H75" s="23"/>
    </row>
    <row r="76" spans="1:8" x14ac:dyDescent="0.2">
      <c r="A76" s="4">
        <v>0</v>
      </c>
      <c r="B76" s="26" t="s">
        <v>42</v>
      </c>
      <c r="C76" s="11">
        <v>0.32800000000000001</v>
      </c>
      <c r="F76" s="26"/>
      <c r="G76" s="26"/>
      <c r="H76" s="23"/>
    </row>
    <row r="77" spans="1:8" x14ac:dyDescent="0.2">
      <c r="A77" s="5">
        <v>10</v>
      </c>
      <c r="B77" s="26" t="s">
        <v>42</v>
      </c>
      <c r="C77" s="11">
        <v>0.44600000000000001</v>
      </c>
      <c r="F77" s="26"/>
      <c r="G77" s="26"/>
      <c r="H77" s="23"/>
    </row>
    <row r="78" spans="1:8" x14ac:dyDescent="0.2">
      <c r="A78" s="5">
        <v>10</v>
      </c>
      <c r="B78" s="26" t="s">
        <v>42</v>
      </c>
      <c r="C78" s="11">
        <v>0.443</v>
      </c>
      <c r="F78" s="26"/>
      <c r="G78" s="26"/>
      <c r="H78" s="23"/>
    </row>
    <row r="79" spans="1:8" x14ac:dyDescent="0.2">
      <c r="A79" s="5">
        <v>10</v>
      </c>
      <c r="B79" s="26" t="s">
        <v>42</v>
      </c>
      <c r="C79" s="11">
        <v>0.44600000000000001</v>
      </c>
      <c r="F79" s="26"/>
      <c r="G79" s="26"/>
      <c r="H79" s="23"/>
    </row>
    <row r="80" spans="1:8" x14ac:dyDescent="0.2">
      <c r="A80" s="5">
        <v>10</v>
      </c>
      <c r="B80" s="26" t="s">
        <v>42</v>
      </c>
      <c r="C80" s="11">
        <v>0.45100000000000001</v>
      </c>
      <c r="F80" s="26"/>
      <c r="G80" s="26"/>
      <c r="H80" s="23"/>
    </row>
    <row r="81" spans="1:8" x14ac:dyDescent="0.2">
      <c r="A81" s="5">
        <v>10</v>
      </c>
      <c r="B81" s="26" t="s">
        <v>42</v>
      </c>
      <c r="C81" s="11">
        <v>0.443</v>
      </c>
      <c r="F81" s="26"/>
      <c r="G81" s="26"/>
      <c r="H81" s="23"/>
    </row>
    <row r="82" spans="1:8" x14ac:dyDescent="0.2">
      <c r="A82" s="5">
        <v>20</v>
      </c>
      <c r="B82" s="26" t="s">
        <v>42</v>
      </c>
      <c r="C82" s="11">
        <v>0.45300000000000001</v>
      </c>
      <c r="F82" s="26"/>
      <c r="G82" s="26"/>
      <c r="H82" s="23"/>
    </row>
    <row r="83" spans="1:8" x14ac:dyDescent="0.2">
      <c r="A83" s="5">
        <v>20</v>
      </c>
      <c r="B83" s="26" t="s">
        <v>42</v>
      </c>
      <c r="C83" s="11">
        <v>0.44800000000000001</v>
      </c>
      <c r="F83" s="26"/>
      <c r="G83" s="26"/>
      <c r="H83" s="23"/>
    </row>
    <row r="84" spans="1:8" x14ac:dyDescent="0.2">
      <c r="A84" s="5">
        <v>20</v>
      </c>
      <c r="B84" s="26" t="s">
        <v>42</v>
      </c>
      <c r="C84" s="11">
        <v>0.44900000000000001</v>
      </c>
      <c r="F84" s="26"/>
      <c r="G84" s="26"/>
      <c r="H84" s="23"/>
    </row>
    <row r="85" spans="1:8" x14ac:dyDescent="0.2">
      <c r="A85" s="5">
        <v>20</v>
      </c>
      <c r="B85" s="26" t="s">
        <v>42</v>
      </c>
      <c r="C85" s="11">
        <v>0.46300000000000002</v>
      </c>
      <c r="F85" s="26"/>
      <c r="G85" s="26"/>
      <c r="H85" s="23"/>
    </row>
    <row r="86" spans="1:8" x14ac:dyDescent="0.2">
      <c r="A86" s="5">
        <v>20</v>
      </c>
      <c r="B86" s="26" t="s">
        <v>42</v>
      </c>
      <c r="C86" s="11">
        <v>0.45400000000000001</v>
      </c>
      <c r="F86" s="26"/>
      <c r="G86" s="26"/>
      <c r="H86" s="23"/>
    </row>
    <row r="87" spans="1:8" x14ac:dyDescent="0.2">
      <c r="A87" s="5">
        <v>30</v>
      </c>
      <c r="B87" s="26" t="s">
        <v>42</v>
      </c>
      <c r="C87" s="11">
        <v>0.46100000000000002</v>
      </c>
      <c r="F87" s="26"/>
      <c r="G87" s="26"/>
      <c r="H87" s="23"/>
    </row>
    <row r="88" spans="1:8" x14ac:dyDescent="0.2">
      <c r="A88" s="5">
        <v>30</v>
      </c>
      <c r="B88" s="26" t="s">
        <v>42</v>
      </c>
      <c r="C88" s="11">
        <v>0.45600000000000002</v>
      </c>
      <c r="F88" s="26"/>
      <c r="G88" s="26"/>
      <c r="H88" s="23"/>
    </row>
    <row r="89" spans="1:8" x14ac:dyDescent="0.2">
      <c r="A89" s="5">
        <v>30</v>
      </c>
      <c r="B89" s="26" t="s">
        <v>42</v>
      </c>
      <c r="C89" s="11">
        <v>0.45700000000000002</v>
      </c>
      <c r="F89" s="26"/>
      <c r="G89" s="26"/>
      <c r="H89" s="23"/>
    </row>
    <row r="90" spans="1:8" x14ac:dyDescent="0.2">
      <c r="A90" s="5">
        <v>30</v>
      </c>
      <c r="B90" s="26" t="s">
        <v>42</v>
      </c>
      <c r="C90" s="11">
        <v>0.46800000000000003</v>
      </c>
      <c r="F90" s="26"/>
      <c r="G90" s="26"/>
      <c r="H90" s="23"/>
    </row>
    <row r="91" spans="1:8" x14ac:dyDescent="0.2">
      <c r="A91" s="5">
        <v>30</v>
      </c>
      <c r="B91" s="26" t="s">
        <v>42</v>
      </c>
      <c r="C91" s="11">
        <v>0.45800000000000002</v>
      </c>
      <c r="F91" s="26"/>
      <c r="G91" s="26"/>
      <c r="H91" s="23"/>
    </row>
    <row r="92" spans="1:8" x14ac:dyDescent="0.2">
      <c r="A92" s="5">
        <v>40</v>
      </c>
      <c r="B92" s="26" t="s">
        <v>42</v>
      </c>
      <c r="C92" s="11">
        <v>0.46800000000000003</v>
      </c>
      <c r="F92" s="26"/>
      <c r="G92" s="26"/>
      <c r="H92" s="23"/>
    </row>
    <row r="93" spans="1:8" x14ac:dyDescent="0.2">
      <c r="A93" s="5">
        <v>40</v>
      </c>
      <c r="B93" s="26" t="s">
        <v>42</v>
      </c>
      <c r="C93" s="11">
        <v>0.46</v>
      </c>
      <c r="F93" s="26"/>
      <c r="G93" s="26"/>
      <c r="H93" s="27"/>
    </row>
    <row r="94" spans="1:8" x14ac:dyDescent="0.2">
      <c r="A94" s="5">
        <v>40</v>
      </c>
      <c r="B94" s="26" t="s">
        <v>42</v>
      </c>
      <c r="C94" s="11">
        <v>0.47099999999999997</v>
      </c>
      <c r="F94" s="26"/>
      <c r="G94" s="26"/>
      <c r="H94" s="27"/>
    </row>
    <row r="95" spans="1:8" x14ac:dyDescent="0.2">
      <c r="A95" s="5">
        <v>40</v>
      </c>
      <c r="B95" s="26" t="s">
        <v>42</v>
      </c>
      <c r="C95" s="11">
        <v>0.47399999999999998</v>
      </c>
      <c r="F95" s="26"/>
      <c r="G95" s="26"/>
      <c r="H95" s="27"/>
    </row>
    <row r="96" spans="1:8" x14ac:dyDescent="0.2">
      <c r="A96" s="5">
        <v>40</v>
      </c>
      <c r="B96" s="26" t="s">
        <v>42</v>
      </c>
      <c r="C96" s="11">
        <v>0.46400000000000002</v>
      </c>
      <c r="F96" s="26"/>
      <c r="G96" s="26"/>
      <c r="H96" s="27"/>
    </row>
    <row r="97" spans="1:8" x14ac:dyDescent="0.2">
      <c r="A97" s="5">
        <v>50</v>
      </c>
      <c r="B97" s="26" t="s">
        <v>42</v>
      </c>
      <c r="C97" s="11">
        <v>0.47499999999999998</v>
      </c>
      <c r="F97" s="26"/>
      <c r="G97" s="26"/>
      <c r="H97" s="27"/>
    </row>
    <row r="98" spans="1:8" x14ac:dyDescent="0.2">
      <c r="A98" s="5">
        <v>50</v>
      </c>
      <c r="B98" s="26" t="s">
        <v>42</v>
      </c>
      <c r="C98" s="11">
        <v>0.46700000000000003</v>
      </c>
      <c r="F98" s="26"/>
      <c r="G98" s="26"/>
      <c r="H98" s="27"/>
    </row>
    <row r="99" spans="1:8" x14ac:dyDescent="0.2">
      <c r="A99" s="5">
        <v>50</v>
      </c>
      <c r="B99" s="26" t="s">
        <v>42</v>
      </c>
      <c r="C99" s="11">
        <v>0.46400000000000002</v>
      </c>
      <c r="F99" s="26"/>
      <c r="G99" s="26"/>
      <c r="H99" s="27"/>
    </row>
    <row r="100" spans="1:8" x14ac:dyDescent="0.2">
      <c r="A100" s="5">
        <v>50</v>
      </c>
      <c r="B100" s="26" t="s">
        <v>42</v>
      </c>
      <c r="C100" s="11">
        <v>0.47199999999999998</v>
      </c>
    </row>
    <row r="101" spans="1:8" x14ac:dyDescent="0.2">
      <c r="A101" s="5">
        <v>50</v>
      </c>
      <c r="B101" s="26" t="s">
        <v>42</v>
      </c>
      <c r="C101" s="11">
        <v>0.46300000000000002</v>
      </c>
    </row>
    <row r="102" spans="1:8" x14ac:dyDescent="0.2">
      <c r="A102" s="5">
        <v>60</v>
      </c>
      <c r="B102" s="26" t="s">
        <v>42</v>
      </c>
      <c r="C102" s="11">
        <v>0.46800000000000003</v>
      </c>
    </row>
    <row r="103" spans="1:8" x14ac:dyDescent="0.2">
      <c r="A103" s="5">
        <v>60</v>
      </c>
      <c r="B103" s="26" t="s">
        <v>42</v>
      </c>
      <c r="C103" s="11">
        <v>0.47199999999999998</v>
      </c>
    </row>
    <row r="104" spans="1:8" x14ac:dyDescent="0.2">
      <c r="A104" s="5">
        <v>60</v>
      </c>
      <c r="B104" s="26" t="s">
        <v>42</v>
      </c>
      <c r="C104" s="11">
        <v>0.47099999999999997</v>
      </c>
    </row>
    <row r="105" spans="1:8" x14ac:dyDescent="0.2">
      <c r="A105" s="5">
        <v>60</v>
      </c>
      <c r="B105" s="26" t="s">
        <v>42</v>
      </c>
      <c r="C105" s="11">
        <v>0.48</v>
      </c>
    </row>
    <row r="106" spans="1:8" x14ac:dyDescent="0.2">
      <c r="A106" s="5">
        <v>60</v>
      </c>
      <c r="B106" s="26" t="s">
        <v>42</v>
      </c>
      <c r="C106" s="11">
        <v>0.46899999999999997</v>
      </c>
    </row>
    <row r="107" spans="1:8" x14ac:dyDescent="0.2">
      <c r="A107" s="4">
        <v>0</v>
      </c>
      <c r="B107" s="26" t="s">
        <v>43</v>
      </c>
      <c r="C107" s="11">
        <v>0.33500000000000002</v>
      </c>
    </row>
    <row r="108" spans="1:8" x14ac:dyDescent="0.2">
      <c r="A108" s="4">
        <v>0</v>
      </c>
      <c r="B108" s="26" t="s">
        <v>43</v>
      </c>
      <c r="C108" s="11">
        <v>0.32700000000000001</v>
      </c>
    </row>
    <row r="109" spans="1:8" x14ac:dyDescent="0.2">
      <c r="A109" s="4">
        <v>0</v>
      </c>
      <c r="B109" s="26" t="s">
        <v>43</v>
      </c>
      <c r="C109" s="11">
        <v>0.33600000000000002</v>
      </c>
    </row>
    <row r="110" spans="1:8" x14ac:dyDescent="0.2">
      <c r="A110" s="4">
        <v>0</v>
      </c>
      <c r="B110" s="26" t="s">
        <v>43</v>
      </c>
      <c r="C110" s="11">
        <v>0.34</v>
      </c>
    </row>
    <row r="111" spans="1:8" x14ac:dyDescent="0.2">
      <c r="A111" s="4">
        <v>0</v>
      </c>
      <c r="B111" s="26" t="s">
        <v>43</v>
      </c>
      <c r="C111" s="11">
        <v>0.32100000000000001</v>
      </c>
    </row>
    <row r="112" spans="1:8" x14ac:dyDescent="0.2">
      <c r="A112" s="5">
        <v>10</v>
      </c>
      <c r="B112" s="26" t="s">
        <v>43</v>
      </c>
      <c r="C112" s="11">
        <v>0.46700000000000003</v>
      </c>
    </row>
    <row r="113" spans="1:3" x14ac:dyDescent="0.2">
      <c r="A113" s="5">
        <v>10</v>
      </c>
      <c r="B113" s="26" t="s">
        <v>43</v>
      </c>
      <c r="C113" s="11">
        <v>0.44600000000000001</v>
      </c>
    </row>
    <row r="114" spans="1:3" x14ac:dyDescent="0.2">
      <c r="A114" s="5">
        <v>10</v>
      </c>
      <c r="B114" s="26" t="s">
        <v>43</v>
      </c>
      <c r="C114" s="11">
        <v>0.45900000000000002</v>
      </c>
    </row>
    <row r="115" spans="1:3" x14ac:dyDescent="0.2">
      <c r="A115" s="5">
        <v>10</v>
      </c>
      <c r="B115" s="26" t="s">
        <v>43</v>
      </c>
      <c r="C115" s="11">
        <v>0.46100000000000002</v>
      </c>
    </row>
    <row r="116" spans="1:3" x14ac:dyDescent="0.2">
      <c r="A116" s="5">
        <v>10</v>
      </c>
      <c r="B116" s="26" t="s">
        <v>43</v>
      </c>
      <c r="C116" s="11">
        <v>0.438</v>
      </c>
    </row>
    <row r="117" spans="1:3" x14ac:dyDescent="0.2">
      <c r="A117" s="5">
        <v>20</v>
      </c>
      <c r="B117" s="26" t="s">
        <v>43</v>
      </c>
      <c r="C117" s="11">
        <v>0.47099999999999997</v>
      </c>
    </row>
    <row r="118" spans="1:3" x14ac:dyDescent="0.2">
      <c r="A118" s="5">
        <v>20</v>
      </c>
      <c r="B118" s="26" t="s">
        <v>43</v>
      </c>
      <c r="C118" s="11">
        <v>0.45400000000000001</v>
      </c>
    </row>
    <row r="119" spans="1:3" x14ac:dyDescent="0.2">
      <c r="A119" s="5">
        <v>20</v>
      </c>
      <c r="B119" s="26" t="s">
        <v>43</v>
      </c>
      <c r="C119" s="11">
        <v>0.47299999999999998</v>
      </c>
    </row>
    <row r="120" spans="1:3" x14ac:dyDescent="0.2">
      <c r="A120" s="5">
        <v>20</v>
      </c>
      <c r="B120" s="26" t="s">
        <v>43</v>
      </c>
      <c r="C120" s="11">
        <v>0.46899999999999997</v>
      </c>
    </row>
    <row r="121" spans="1:3" x14ac:dyDescent="0.2">
      <c r="A121" s="5">
        <v>20</v>
      </c>
      <c r="B121" s="26" t="s">
        <v>43</v>
      </c>
      <c r="C121" s="11">
        <v>0.44</v>
      </c>
    </row>
    <row r="122" spans="1:3" x14ac:dyDescent="0.2">
      <c r="A122" s="5">
        <v>30</v>
      </c>
      <c r="B122" s="26" t="s">
        <v>43</v>
      </c>
      <c r="C122" s="11">
        <v>0.47899999999999998</v>
      </c>
    </row>
    <row r="123" spans="1:3" x14ac:dyDescent="0.2">
      <c r="A123" s="5">
        <v>30</v>
      </c>
      <c r="B123" s="26" t="s">
        <v>43</v>
      </c>
      <c r="C123" s="11">
        <v>0.45600000000000002</v>
      </c>
    </row>
    <row r="124" spans="1:3" x14ac:dyDescent="0.2">
      <c r="A124" s="5">
        <v>30</v>
      </c>
      <c r="B124" s="26" t="s">
        <v>43</v>
      </c>
      <c r="C124" s="11">
        <v>0.47699999999999998</v>
      </c>
    </row>
    <row r="125" spans="1:3" x14ac:dyDescent="0.2">
      <c r="A125" s="5">
        <v>30</v>
      </c>
      <c r="B125" s="26" t="s">
        <v>43</v>
      </c>
      <c r="C125" s="11">
        <v>0.47199999999999998</v>
      </c>
    </row>
    <row r="126" spans="1:3" x14ac:dyDescent="0.2">
      <c r="A126" s="5">
        <v>30</v>
      </c>
      <c r="B126" s="26" t="s">
        <v>43</v>
      </c>
      <c r="C126" s="11">
        <v>0.44500000000000001</v>
      </c>
    </row>
    <row r="127" spans="1:3" x14ac:dyDescent="0.2">
      <c r="A127" s="5">
        <v>40</v>
      </c>
      <c r="B127" s="26" t="s">
        <v>43</v>
      </c>
      <c r="C127" s="11">
        <v>0.48399999999999999</v>
      </c>
    </row>
    <row r="128" spans="1:3" x14ac:dyDescent="0.2">
      <c r="A128" s="5">
        <v>40</v>
      </c>
      <c r="B128" s="26" t="s">
        <v>43</v>
      </c>
      <c r="C128" s="11">
        <v>0.45700000000000002</v>
      </c>
    </row>
    <row r="129" spans="1:3" x14ac:dyDescent="0.2">
      <c r="A129" s="5">
        <v>40</v>
      </c>
      <c r="B129" s="26" t="s">
        <v>43</v>
      </c>
      <c r="C129" s="11">
        <v>0.48099999999999998</v>
      </c>
    </row>
    <row r="130" spans="1:3" x14ac:dyDescent="0.2">
      <c r="A130" s="5">
        <v>40</v>
      </c>
      <c r="B130" s="26" t="s">
        <v>43</v>
      </c>
      <c r="C130" s="11">
        <v>0.47699999999999998</v>
      </c>
    </row>
    <row r="131" spans="1:3" x14ac:dyDescent="0.2">
      <c r="A131" s="5">
        <v>40</v>
      </c>
      <c r="B131" s="26" t="s">
        <v>43</v>
      </c>
      <c r="C131" s="11">
        <v>0.44700000000000001</v>
      </c>
    </row>
    <row r="132" spans="1:3" x14ac:dyDescent="0.2">
      <c r="A132" s="5">
        <v>50</v>
      </c>
      <c r="B132" s="26" t="s">
        <v>43</v>
      </c>
      <c r="C132" s="11">
        <v>0.49299999999999999</v>
      </c>
    </row>
    <row r="133" spans="1:3" x14ac:dyDescent="0.2">
      <c r="A133" s="5">
        <v>50</v>
      </c>
      <c r="B133" s="26" t="s">
        <v>43</v>
      </c>
      <c r="C133" s="11">
        <v>0.46899999999999997</v>
      </c>
    </row>
    <row r="134" spans="1:3" x14ac:dyDescent="0.2">
      <c r="A134" s="5">
        <v>50</v>
      </c>
      <c r="B134" s="26" t="s">
        <v>43</v>
      </c>
      <c r="C134" s="11">
        <v>0.48699999999999999</v>
      </c>
    </row>
    <row r="135" spans="1:3" x14ac:dyDescent="0.2">
      <c r="A135" s="5">
        <v>50</v>
      </c>
      <c r="B135" s="26" t="s">
        <v>43</v>
      </c>
      <c r="C135" s="11">
        <v>0.47899999999999998</v>
      </c>
    </row>
    <row r="136" spans="1:3" x14ac:dyDescent="0.2">
      <c r="A136" s="5">
        <v>50</v>
      </c>
      <c r="B136" s="26" t="s">
        <v>43</v>
      </c>
      <c r="C136" s="11">
        <v>0.45200000000000001</v>
      </c>
    </row>
    <row r="137" spans="1:3" x14ac:dyDescent="0.2">
      <c r="A137" s="5">
        <v>60</v>
      </c>
      <c r="B137" s="26" t="s">
        <v>43</v>
      </c>
      <c r="C137" s="11">
        <v>0.49099999999999999</v>
      </c>
    </row>
    <row r="138" spans="1:3" x14ac:dyDescent="0.2">
      <c r="A138" s="5">
        <v>60</v>
      </c>
      <c r="B138" s="26" t="s">
        <v>43</v>
      </c>
      <c r="C138" s="11">
        <v>0.47499999999999998</v>
      </c>
    </row>
    <row r="139" spans="1:3" x14ac:dyDescent="0.2">
      <c r="A139" s="5">
        <v>60</v>
      </c>
      <c r="B139" s="26" t="s">
        <v>43</v>
      </c>
      <c r="C139" s="11">
        <v>0.48899999999999999</v>
      </c>
    </row>
    <row r="140" spans="1:3" x14ac:dyDescent="0.2">
      <c r="A140" s="5">
        <v>60</v>
      </c>
      <c r="B140" s="26" t="s">
        <v>43</v>
      </c>
      <c r="C140" s="11">
        <v>0.48099999999999998</v>
      </c>
    </row>
    <row r="141" spans="1:3" x14ac:dyDescent="0.2">
      <c r="A141" s="5">
        <v>60</v>
      </c>
      <c r="B141" s="26" t="s">
        <v>43</v>
      </c>
      <c r="C141" s="11">
        <v>0.45100000000000001</v>
      </c>
    </row>
    <row r="142" spans="1:3" x14ac:dyDescent="0.2">
      <c r="A142" s="4">
        <v>0</v>
      </c>
      <c r="B142" s="26" t="s">
        <v>51</v>
      </c>
      <c r="C142" s="11">
        <v>0.34200000000000003</v>
      </c>
    </row>
    <row r="143" spans="1:3" x14ac:dyDescent="0.2">
      <c r="A143" s="4">
        <v>0</v>
      </c>
      <c r="B143" s="26" t="s">
        <v>51</v>
      </c>
      <c r="C143" s="11">
        <v>0.32900000000000001</v>
      </c>
    </row>
    <row r="144" spans="1:3" x14ac:dyDescent="0.2">
      <c r="A144" s="4">
        <v>0</v>
      </c>
      <c r="B144" s="26" t="s">
        <v>51</v>
      </c>
      <c r="C144" s="11">
        <v>0.32600000000000001</v>
      </c>
    </row>
    <row r="145" spans="1:3" x14ac:dyDescent="0.2">
      <c r="A145" s="4">
        <v>0</v>
      </c>
      <c r="B145" s="26" t="s">
        <v>51</v>
      </c>
      <c r="C145" s="11">
        <v>0.31900000000000001</v>
      </c>
    </row>
    <row r="146" spans="1:3" x14ac:dyDescent="0.2">
      <c r="A146" s="4">
        <v>0</v>
      </c>
      <c r="B146" s="26" t="s">
        <v>51</v>
      </c>
      <c r="C146" s="11">
        <v>0.32300000000000001</v>
      </c>
    </row>
    <row r="147" spans="1:3" x14ac:dyDescent="0.2">
      <c r="A147" s="5">
        <v>10</v>
      </c>
      <c r="B147" s="26" t="s">
        <v>51</v>
      </c>
      <c r="C147" s="11">
        <v>0.44600000000000001</v>
      </c>
    </row>
    <row r="148" spans="1:3" x14ac:dyDescent="0.2">
      <c r="A148" s="5">
        <v>10</v>
      </c>
      <c r="B148" s="26" t="s">
        <v>51</v>
      </c>
      <c r="C148" s="11">
        <v>0.441</v>
      </c>
    </row>
    <row r="149" spans="1:3" x14ac:dyDescent="0.2">
      <c r="A149" s="5">
        <v>10</v>
      </c>
      <c r="B149" s="26" t="s">
        <v>51</v>
      </c>
      <c r="C149" s="11">
        <v>0.437</v>
      </c>
    </row>
    <row r="150" spans="1:3" x14ac:dyDescent="0.2">
      <c r="A150" s="5">
        <v>10</v>
      </c>
      <c r="B150" s="26" t="s">
        <v>51</v>
      </c>
      <c r="C150" s="11">
        <v>0.42499999999999999</v>
      </c>
    </row>
    <row r="151" spans="1:3" x14ac:dyDescent="0.2">
      <c r="A151" s="5">
        <v>10</v>
      </c>
      <c r="B151" s="26" t="s">
        <v>51</v>
      </c>
      <c r="C151" s="11">
        <v>0.433</v>
      </c>
    </row>
    <row r="152" spans="1:3" x14ac:dyDescent="0.2">
      <c r="A152" s="5">
        <v>20</v>
      </c>
      <c r="B152" s="26" t="s">
        <v>51</v>
      </c>
      <c r="C152" s="11">
        <v>0.45800000000000002</v>
      </c>
    </row>
    <row r="153" spans="1:3" x14ac:dyDescent="0.2">
      <c r="A153" s="5">
        <v>20</v>
      </c>
      <c r="B153" s="26" t="s">
        <v>51</v>
      </c>
      <c r="C153" s="11">
        <v>0.44400000000000001</v>
      </c>
    </row>
    <row r="154" spans="1:3" x14ac:dyDescent="0.2">
      <c r="A154" s="5">
        <v>20</v>
      </c>
      <c r="B154" s="26" t="s">
        <v>51</v>
      </c>
      <c r="C154" s="11">
        <v>0.441</v>
      </c>
    </row>
    <row r="155" spans="1:3" x14ac:dyDescent="0.2">
      <c r="A155" s="5">
        <v>20</v>
      </c>
      <c r="B155" s="26" t="s">
        <v>51</v>
      </c>
      <c r="C155" s="11">
        <v>0.43</v>
      </c>
    </row>
    <row r="156" spans="1:3" x14ac:dyDescent="0.2">
      <c r="A156" s="5">
        <v>20</v>
      </c>
      <c r="B156" s="26" t="s">
        <v>51</v>
      </c>
      <c r="C156" s="11">
        <v>0.44500000000000001</v>
      </c>
    </row>
    <row r="157" spans="1:3" x14ac:dyDescent="0.2">
      <c r="A157" s="5">
        <v>30</v>
      </c>
      <c r="B157" s="26" t="s">
        <v>51</v>
      </c>
      <c r="C157" s="11">
        <v>0.45800000000000002</v>
      </c>
    </row>
    <row r="158" spans="1:3" x14ac:dyDescent="0.2">
      <c r="A158" s="5">
        <v>30</v>
      </c>
      <c r="B158" s="26" t="s">
        <v>51</v>
      </c>
      <c r="C158" s="11">
        <v>0.44700000000000001</v>
      </c>
    </row>
    <row r="159" spans="1:3" x14ac:dyDescent="0.2">
      <c r="A159" s="5">
        <v>30</v>
      </c>
      <c r="B159" s="26" t="s">
        <v>51</v>
      </c>
      <c r="C159" s="11">
        <v>0.45100000000000001</v>
      </c>
    </row>
    <row r="160" spans="1:3" x14ac:dyDescent="0.2">
      <c r="A160" s="5">
        <v>30</v>
      </c>
      <c r="B160" s="26" t="s">
        <v>51</v>
      </c>
      <c r="C160" s="11">
        <v>0.439</v>
      </c>
    </row>
    <row r="161" spans="1:3" x14ac:dyDescent="0.2">
      <c r="A161" s="5">
        <v>30</v>
      </c>
      <c r="B161" s="26" t="s">
        <v>51</v>
      </c>
      <c r="C161" s="11">
        <v>0.442</v>
      </c>
    </row>
    <row r="162" spans="1:3" x14ac:dyDescent="0.2">
      <c r="A162" s="5">
        <v>40</v>
      </c>
      <c r="B162" s="26" t="s">
        <v>51</v>
      </c>
      <c r="C162" s="11">
        <v>0.46500000000000002</v>
      </c>
    </row>
    <row r="163" spans="1:3" x14ac:dyDescent="0.2">
      <c r="A163" s="5">
        <v>40</v>
      </c>
      <c r="B163" s="26" t="s">
        <v>51</v>
      </c>
      <c r="C163" s="11">
        <v>0.45700000000000002</v>
      </c>
    </row>
    <row r="164" spans="1:3" x14ac:dyDescent="0.2">
      <c r="A164" s="5">
        <v>40</v>
      </c>
      <c r="B164" s="26" t="s">
        <v>51</v>
      </c>
      <c r="C164" s="11">
        <v>0.45500000000000002</v>
      </c>
    </row>
    <row r="165" spans="1:3" x14ac:dyDescent="0.2">
      <c r="A165" s="5">
        <v>40</v>
      </c>
      <c r="B165" s="26" t="s">
        <v>51</v>
      </c>
      <c r="C165" s="11">
        <v>0.443</v>
      </c>
    </row>
    <row r="166" spans="1:3" x14ac:dyDescent="0.2">
      <c r="A166" s="5">
        <v>40</v>
      </c>
      <c r="B166" s="26" t="s">
        <v>51</v>
      </c>
      <c r="C166" s="11">
        <v>0.45</v>
      </c>
    </row>
    <row r="167" spans="1:3" x14ac:dyDescent="0.2">
      <c r="A167" s="5">
        <v>50</v>
      </c>
      <c r="B167" s="26" t="s">
        <v>51</v>
      </c>
      <c r="C167" s="11">
        <v>0.46700000000000003</v>
      </c>
    </row>
    <row r="168" spans="1:3" x14ac:dyDescent="0.2">
      <c r="A168" s="5">
        <v>50</v>
      </c>
      <c r="B168" s="26" t="s">
        <v>51</v>
      </c>
      <c r="C168" s="11">
        <v>0.46100000000000002</v>
      </c>
    </row>
    <row r="169" spans="1:3" x14ac:dyDescent="0.2">
      <c r="A169" s="5">
        <v>50</v>
      </c>
      <c r="B169" s="26" t="s">
        <v>51</v>
      </c>
      <c r="C169" s="11">
        <v>0.45300000000000001</v>
      </c>
    </row>
    <row r="170" spans="1:3" x14ac:dyDescent="0.2">
      <c r="A170" s="5">
        <v>50</v>
      </c>
      <c r="B170" s="26" t="s">
        <v>51</v>
      </c>
      <c r="C170" s="11">
        <v>0.44600000000000001</v>
      </c>
    </row>
    <row r="171" spans="1:3" x14ac:dyDescent="0.2">
      <c r="A171" s="5">
        <v>50</v>
      </c>
      <c r="B171" s="26" t="s">
        <v>51</v>
      </c>
      <c r="C171" s="11">
        <v>0.45300000000000001</v>
      </c>
    </row>
    <row r="172" spans="1:3" x14ac:dyDescent="0.2">
      <c r="A172" s="5">
        <v>60</v>
      </c>
      <c r="B172" s="26" t="s">
        <v>51</v>
      </c>
      <c r="C172" s="11">
        <v>0.46500000000000002</v>
      </c>
    </row>
    <row r="173" spans="1:3" x14ac:dyDescent="0.2">
      <c r="A173" s="5">
        <v>60</v>
      </c>
      <c r="B173" s="26" t="s">
        <v>51</v>
      </c>
      <c r="C173" s="11">
        <v>0.46100000000000002</v>
      </c>
    </row>
    <row r="174" spans="1:3" x14ac:dyDescent="0.2">
      <c r="A174" s="5">
        <v>60</v>
      </c>
      <c r="B174" s="26" t="s">
        <v>51</v>
      </c>
      <c r="C174" s="11">
        <v>0.45300000000000001</v>
      </c>
    </row>
    <row r="175" spans="1:3" x14ac:dyDescent="0.2">
      <c r="A175" s="5">
        <v>60</v>
      </c>
      <c r="B175" s="26" t="s">
        <v>51</v>
      </c>
      <c r="C175" s="11">
        <v>0.44700000000000001</v>
      </c>
    </row>
    <row r="176" spans="1:3" x14ac:dyDescent="0.2">
      <c r="A176" s="5">
        <v>60</v>
      </c>
      <c r="B176" s="26" t="s">
        <v>51</v>
      </c>
      <c r="C176" s="11">
        <v>0.45</v>
      </c>
    </row>
    <row r="177" spans="1:3" x14ac:dyDescent="0.2">
      <c r="A177" s="4">
        <v>0</v>
      </c>
      <c r="B177" s="26" t="s">
        <v>44</v>
      </c>
      <c r="C177" s="11">
        <v>0.32500000000000001</v>
      </c>
    </row>
    <row r="178" spans="1:3" x14ac:dyDescent="0.2">
      <c r="A178" s="4">
        <v>0</v>
      </c>
      <c r="B178" s="26" t="s">
        <v>44</v>
      </c>
      <c r="C178" s="11">
        <v>0.33800000000000002</v>
      </c>
    </row>
    <row r="179" spans="1:3" x14ac:dyDescent="0.2">
      <c r="A179" s="4">
        <v>0</v>
      </c>
      <c r="B179" s="26" t="s">
        <v>44</v>
      </c>
      <c r="C179" s="11">
        <v>0.34</v>
      </c>
    </row>
    <row r="180" spans="1:3" x14ac:dyDescent="0.2">
      <c r="A180" s="4">
        <v>0</v>
      </c>
      <c r="B180" s="26" t="s">
        <v>44</v>
      </c>
      <c r="C180" s="11">
        <v>0.32700000000000001</v>
      </c>
    </row>
    <row r="181" spans="1:3" x14ac:dyDescent="0.2">
      <c r="A181" s="4">
        <v>0</v>
      </c>
      <c r="B181" s="26" t="s">
        <v>44</v>
      </c>
      <c r="C181" s="11">
        <v>0.32</v>
      </c>
    </row>
    <row r="182" spans="1:3" x14ac:dyDescent="0.2">
      <c r="A182" s="5">
        <v>10</v>
      </c>
      <c r="B182" s="26" t="s">
        <v>44</v>
      </c>
      <c r="C182" s="11">
        <v>0.437</v>
      </c>
    </row>
    <row r="183" spans="1:3" x14ac:dyDescent="0.2">
      <c r="A183" s="5">
        <v>10</v>
      </c>
      <c r="B183" s="26" t="s">
        <v>44</v>
      </c>
      <c r="C183" s="11">
        <v>0.45600000000000002</v>
      </c>
    </row>
    <row r="184" spans="1:3" x14ac:dyDescent="0.2">
      <c r="A184" s="5">
        <v>10</v>
      </c>
      <c r="B184" s="26" t="s">
        <v>44</v>
      </c>
      <c r="C184" s="11">
        <v>0.44400000000000001</v>
      </c>
    </row>
    <row r="185" spans="1:3" x14ac:dyDescent="0.2">
      <c r="A185" s="5">
        <v>10</v>
      </c>
      <c r="B185" s="26" t="s">
        <v>44</v>
      </c>
      <c r="C185" s="11">
        <v>0.439</v>
      </c>
    </row>
    <row r="186" spans="1:3" x14ac:dyDescent="0.2">
      <c r="A186" s="5">
        <v>10</v>
      </c>
      <c r="B186" s="26" t="s">
        <v>44</v>
      </c>
      <c r="C186" s="11">
        <v>0.42599999999999999</v>
      </c>
    </row>
    <row r="187" spans="1:3" x14ac:dyDescent="0.2">
      <c r="A187" s="5">
        <v>20</v>
      </c>
      <c r="B187" s="26" t="s">
        <v>44</v>
      </c>
      <c r="C187" s="11">
        <v>0.44700000000000001</v>
      </c>
    </row>
    <row r="188" spans="1:3" x14ac:dyDescent="0.2">
      <c r="A188" s="5">
        <v>20</v>
      </c>
      <c r="B188" s="26" t="s">
        <v>44</v>
      </c>
      <c r="C188" s="11">
        <v>0.46300000000000002</v>
      </c>
    </row>
    <row r="189" spans="1:3" x14ac:dyDescent="0.2">
      <c r="A189" s="5">
        <v>20</v>
      </c>
      <c r="B189" s="26" t="s">
        <v>44</v>
      </c>
      <c r="C189" s="11">
        <v>0.45300000000000001</v>
      </c>
    </row>
    <row r="190" spans="1:3" x14ac:dyDescent="0.2">
      <c r="A190" s="5">
        <v>20</v>
      </c>
      <c r="B190" s="26" t="s">
        <v>44</v>
      </c>
      <c r="C190" s="11">
        <v>0.45</v>
      </c>
    </row>
    <row r="191" spans="1:3" x14ac:dyDescent="0.2">
      <c r="A191" s="5">
        <v>20</v>
      </c>
      <c r="B191" s="26" t="s">
        <v>44</v>
      </c>
      <c r="C191" s="11">
        <v>0.42799999999999999</v>
      </c>
    </row>
    <row r="192" spans="1:3" x14ac:dyDescent="0.2">
      <c r="A192" s="5">
        <v>30</v>
      </c>
      <c r="B192" s="26" t="s">
        <v>44</v>
      </c>
      <c r="C192" s="11">
        <v>0.45400000000000001</v>
      </c>
    </row>
    <row r="193" spans="1:3" x14ac:dyDescent="0.2">
      <c r="A193" s="5">
        <v>30</v>
      </c>
      <c r="B193" s="26" t="s">
        <v>44</v>
      </c>
      <c r="C193" s="11">
        <v>0.46300000000000002</v>
      </c>
    </row>
    <row r="194" spans="1:3" x14ac:dyDescent="0.2">
      <c r="A194" s="5">
        <v>30</v>
      </c>
      <c r="B194" s="26" t="s">
        <v>44</v>
      </c>
      <c r="C194" s="11">
        <v>0.44800000000000001</v>
      </c>
    </row>
    <row r="195" spans="1:3" x14ac:dyDescent="0.2">
      <c r="A195" s="5">
        <v>30</v>
      </c>
      <c r="B195" s="26" t="s">
        <v>44</v>
      </c>
      <c r="C195" s="11">
        <v>0.45100000000000001</v>
      </c>
    </row>
    <row r="196" spans="1:3" x14ac:dyDescent="0.2">
      <c r="A196" s="5">
        <v>30</v>
      </c>
      <c r="B196" s="26" t="s">
        <v>44</v>
      </c>
      <c r="C196" s="11">
        <v>0.435</v>
      </c>
    </row>
    <row r="197" spans="1:3" x14ac:dyDescent="0.2">
      <c r="A197" s="5">
        <v>40</v>
      </c>
      <c r="B197" s="26" t="s">
        <v>44</v>
      </c>
      <c r="C197" s="11">
        <v>0.45700000000000002</v>
      </c>
    </row>
    <row r="198" spans="1:3" x14ac:dyDescent="0.2">
      <c r="A198" s="5">
        <v>40</v>
      </c>
      <c r="B198" s="26" t="s">
        <v>44</v>
      </c>
      <c r="C198" s="11">
        <v>0.46899999999999997</v>
      </c>
    </row>
    <row r="199" spans="1:3" x14ac:dyDescent="0.2">
      <c r="A199" s="5">
        <v>40</v>
      </c>
      <c r="B199" s="26" t="s">
        <v>44</v>
      </c>
      <c r="C199" s="11">
        <v>0.45200000000000001</v>
      </c>
    </row>
    <row r="200" spans="1:3" x14ac:dyDescent="0.2">
      <c r="A200" s="5">
        <v>40</v>
      </c>
      <c r="B200" s="26" t="s">
        <v>44</v>
      </c>
      <c r="C200" s="11">
        <v>0.45500000000000002</v>
      </c>
    </row>
    <row r="201" spans="1:3" x14ac:dyDescent="0.2">
      <c r="A201" s="5">
        <v>40</v>
      </c>
      <c r="B201" s="26" t="s">
        <v>44</v>
      </c>
      <c r="C201" s="11">
        <v>0.438</v>
      </c>
    </row>
    <row r="202" spans="1:3" x14ac:dyDescent="0.2">
      <c r="A202" s="5">
        <v>50</v>
      </c>
      <c r="B202" s="26" t="s">
        <v>44</v>
      </c>
      <c r="C202" s="11">
        <v>0.45900000000000002</v>
      </c>
    </row>
    <row r="203" spans="1:3" x14ac:dyDescent="0.2">
      <c r="A203" s="5">
        <v>50</v>
      </c>
      <c r="B203" s="26" t="s">
        <v>44</v>
      </c>
      <c r="C203" s="11">
        <v>0.47299999999999998</v>
      </c>
    </row>
    <row r="204" spans="1:3" x14ac:dyDescent="0.2">
      <c r="A204" s="5">
        <v>50</v>
      </c>
      <c r="B204" s="26" t="s">
        <v>44</v>
      </c>
      <c r="C204" s="11">
        <v>0.45700000000000002</v>
      </c>
    </row>
    <row r="205" spans="1:3" x14ac:dyDescent="0.2">
      <c r="A205" s="5">
        <v>50</v>
      </c>
      <c r="B205" s="26" t="s">
        <v>44</v>
      </c>
      <c r="C205" s="11">
        <v>0.45900000000000002</v>
      </c>
    </row>
    <row r="206" spans="1:3" x14ac:dyDescent="0.2">
      <c r="A206" s="5">
        <v>50</v>
      </c>
      <c r="B206" s="26" t="s">
        <v>44</v>
      </c>
      <c r="C206" s="11">
        <v>0.443</v>
      </c>
    </row>
    <row r="207" spans="1:3" x14ac:dyDescent="0.2">
      <c r="A207" s="5">
        <v>60</v>
      </c>
      <c r="B207" s="26" t="s">
        <v>44</v>
      </c>
      <c r="C207" s="11">
        <v>0.46100000000000002</v>
      </c>
    </row>
    <row r="208" spans="1:3" x14ac:dyDescent="0.2">
      <c r="A208" s="5">
        <v>60</v>
      </c>
      <c r="B208" s="26" t="s">
        <v>44</v>
      </c>
      <c r="C208" s="11">
        <v>0.47299999999999998</v>
      </c>
    </row>
    <row r="209" spans="1:3" x14ac:dyDescent="0.2">
      <c r="A209" s="5">
        <v>60</v>
      </c>
      <c r="B209" s="26" t="s">
        <v>44</v>
      </c>
      <c r="C209" s="11">
        <v>0.45900000000000002</v>
      </c>
    </row>
    <row r="210" spans="1:3" x14ac:dyDescent="0.2">
      <c r="A210" s="5">
        <v>60</v>
      </c>
      <c r="B210" s="26" t="s">
        <v>44</v>
      </c>
      <c r="C210" s="11">
        <v>0.46100000000000002</v>
      </c>
    </row>
    <row r="211" spans="1:3" x14ac:dyDescent="0.2">
      <c r="A211" s="5">
        <v>60</v>
      </c>
      <c r="B211" s="26" t="s">
        <v>44</v>
      </c>
      <c r="C211" s="11">
        <v>0.439</v>
      </c>
    </row>
    <row r="212" spans="1:3" x14ac:dyDescent="0.2">
      <c r="A212" s="4">
        <v>0</v>
      </c>
      <c r="B212" s="26" t="s">
        <v>45</v>
      </c>
      <c r="C212" s="11">
        <v>0.32800000000000001</v>
      </c>
    </row>
    <row r="213" spans="1:3" x14ac:dyDescent="0.2">
      <c r="A213" s="4">
        <v>0</v>
      </c>
      <c r="B213" s="26" t="s">
        <v>45</v>
      </c>
      <c r="C213" s="11">
        <v>0.32800000000000001</v>
      </c>
    </row>
    <row r="214" spans="1:3" x14ac:dyDescent="0.2">
      <c r="A214" s="4">
        <v>0</v>
      </c>
      <c r="B214" s="26" t="s">
        <v>45</v>
      </c>
      <c r="C214" s="11">
        <v>0.32700000000000001</v>
      </c>
    </row>
    <row r="215" spans="1:3" x14ac:dyDescent="0.2">
      <c r="A215" s="4">
        <v>0</v>
      </c>
      <c r="B215" s="26" t="s">
        <v>45</v>
      </c>
      <c r="C215" s="11">
        <v>0.33900000000000002</v>
      </c>
    </row>
    <row r="216" spans="1:3" x14ac:dyDescent="0.2">
      <c r="A216" s="4">
        <v>0</v>
      </c>
      <c r="B216" s="26" t="s">
        <v>45</v>
      </c>
      <c r="C216" s="11">
        <v>0.33700000000000002</v>
      </c>
    </row>
    <row r="217" spans="1:3" x14ac:dyDescent="0.2">
      <c r="A217" s="5">
        <v>10</v>
      </c>
      <c r="B217" s="26" t="s">
        <v>45</v>
      </c>
      <c r="C217" s="11">
        <v>0.432</v>
      </c>
    </row>
    <row r="218" spans="1:3" x14ac:dyDescent="0.2">
      <c r="A218" s="5">
        <v>10</v>
      </c>
      <c r="B218" s="26" t="s">
        <v>45</v>
      </c>
      <c r="C218" s="11">
        <v>0.437</v>
      </c>
    </row>
    <row r="219" spans="1:3" x14ac:dyDescent="0.2">
      <c r="A219" s="5">
        <v>10</v>
      </c>
      <c r="B219" s="26" t="s">
        <v>45</v>
      </c>
      <c r="C219" s="11">
        <v>0.432</v>
      </c>
    </row>
    <row r="220" spans="1:3" x14ac:dyDescent="0.2">
      <c r="A220" s="5">
        <v>10</v>
      </c>
      <c r="B220" s="26" t="s">
        <v>45</v>
      </c>
      <c r="C220" s="11">
        <v>0.45300000000000001</v>
      </c>
    </row>
    <row r="221" spans="1:3" x14ac:dyDescent="0.2">
      <c r="A221" s="5">
        <v>10</v>
      </c>
      <c r="B221" s="26" t="s">
        <v>45</v>
      </c>
      <c r="C221" s="11">
        <v>0.45100000000000001</v>
      </c>
    </row>
    <row r="222" spans="1:3" x14ac:dyDescent="0.2">
      <c r="A222" s="5">
        <v>20</v>
      </c>
      <c r="B222" s="26" t="s">
        <v>45</v>
      </c>
      <c r="C222" s="11">
        <v>0.44</v>
      </c>
    </row>
    <row r="223" spans="1:3" x14ac:dyDescent="0.2">
      <c r="A223" s="5">
        <v>20</v>
      </c>
      <c r="B223" s="26" t="s">
        <v>45</v>
      </c>
      <c r="C223" s="11">
        <v>0.443</v>
      </c>
    </row>
    <row r="224" spans="1:3" x14ac:dyDescent="0.2">
      <c r="A224" s="5">
        <v>20</v>
      </c>
      <c r="B224" s="26" t="s">
        <v>45</v>
      </c>
      <c r="C224" s="11">
        <v>0.441</v>
      </c>
    </row>
    <row r="225" spans="1:3" x14ac:dyDescent="0.2">
      <c r="A225" s="5">
        <v>20</v>
      </c>
      <c r="B225" s="26" t="s">
        <v>45</v>
      </c>
      <c r="C225" s="11">
        <v>0.45800000000000002</v>
      </c>
    </row>
    <row r="226" spans="1:3" x14ac:dyDescent="0.2">
      <c r="A226" s="5">
        <v>20</v>
      </c>
      <c r="B226" s="26" t="s">
        <v>45</v>
      </c>
      <c r="C226" s="11">
        <v>0.45800000000000002</v>
      </c>
    </row>
    <row r="227" spans="1:3" x14ac:dyDescent="0.2">
      <c r="A227" s="5">
        <v>30</v>
      </c>
      <c r="B227" s="26" t="s">
        <v>45</v>
      </c>
      <c r="C227" s="11">
        <v>0.44900000000000001</v>
      </c>
    </row>
    <row r="228" spans="1:3" x14ac:dyDescent="0.2">
      <c r="A228" s="5">
        <v>30</v>
      </c>
      <c r="B228" s="26" t="s">
        <v>45</v>
      </c>
      <c r="C228" s="11">
        <v>0.44800000000000001</v>
      </c>
    </row>
    <row r="229" spans="1:3" x14ac:dyDescent="0.2">
      <c r="A229" s="5">
        <v>30</v>
      </c>
      <c r="B229" s="26" t="s">
        <v>45</v>
      </c>
      <c r="C229" s="11">
        <v>0.44600000000000001</v>
      </c>
    </row>
    <row r="230" spans="1:3" x14ac:dyDescent="0.2">
      <c r="A230" s="5">
        <v>30</v>
      </c>
      <c r="B230" s="26" t="s">
        <v>45</v>
      </c>
      <c r="C230" s="11">
        <v>0.46200000000000002</v>
      </c>
    </row>
    <row r="231" spans="1:3" x14ac:dyDescent="0.2">
      <c r="A231" s="5">
        <v>30</v>
      </c>
      <c r="B231" s="26" t="s">
        <v>45</v>
      </c>
      <c r="C231" s="11">
        <v>0.45900000000000002</v>
      </c>
    </row>
    <row r="232" spans="1:3" x14ac:dyDescent="0.2">
      <c r="A232" s="5">
        <v>40</v>
      </c>
      <c r="B232" s="26" t="s">
        <v>45</v>
      </c>
      <c r="C232" s="11">
        <v>0.45</v>
      </c>
    </row>
    <row r="233" spans="1:3" x14ac:dyDescent="0.2">
      <c r="A233" s="5">
        <v>40</v>
      </c>
      <c r="B233" s="26" t="s">
        <v>45</v>
      </c>
      <c r="C233" s="11">
        <v>0.45</v>
      </c>
    </row>
    <row r="234" spans="1:3" x14ac:dyDescent="0.2">
      <c r="A234" s="5">
        <v>40</v>
      </c>
      <c r="B234" s="26" t="s">
        <v>45</v>
      </c>
      <c r="C234" s="11">
        <v>0.44600000000000001</v>
      </c>
    </row>
    <row r="235" spans="1:3" x14ac:dyDescent="0.2">
      <c r="A235" s="5">
        <v>40</v>
      </c>
      <c r="B235" s="26" t="s">
        <v>45</v>
      </c>
      <c r="C235" s="11">
        <v>0.46700000000000003</v>
      </c>
    </row>
    <row r="236" spans="1:3" x14ac:dyDescent="0.2">
      <c r="A236" s="5">
        <v>40</v>
      </c>
      <c r="B236" s="26" t="s">
        <v>45</v>
      </c>
      <c r="C236" s="11">
        <v>0.46</v>
      </c>
    </row>
    <row r="237" spans="1:3" x14ac:dyDescent="0.2">
      <c r="A237" s="5">
        <v>50</v>
      </c>
      <c r="B237" s="26" t="s">
        <v>45</v>
      </c>
      <c r="C237" s="11">
        <v>0.45400000000000001</v>
      </c>
    </row>
    <row r="238" spans="1:3" x14ac:dyDescent="0.2">
      <c r="A238" s="5">
        <v>50</v>
      </c>
      <c r="B238" s="26" t="s">
        <v>45</v>
      </c>
      <c r="C238" s="11">
        <v>0.45500000000000002</v>
      </c>
    </row>
    <row r="239" spans="1:3" x14ac:dyDescent="0.2">
      <c r="A239" s="5">
        <v>50</v>
      </c>
      <c r="B239" s="26" t="s">
        <v>45</v>
      </c>
      <c r="C239" s="11">
        <v>0.44400000000000001</v>
      </c>
    </row>
    <row r="240" spans="1:3" x14ac:dyDescent="0.2">
      <c r="A240" s="5">
        <v>50</v>
      </c>
      <c r="B240" s="26" t="s">
        <v>45</v>
      </c>
      <c r="C240" s="11">
        <v>0.46700000000000003</v>
      </c>
    </row>
    <row r="241" spans="1:3" x14ac:dyDescent="0.2">
      <c r="A241" s="5">
        <v>50</v>
      </c>
      <c r="B241" s="26" t="s">
        <v>45</v>
      </c>
      <c r="C241" s="11">
        <v>0.46300000000000002</v>
      </c>
    </row>
    <row r="242" spans="1:3" x14ac:dyDescent="0.2">
      <c r="A242" s="5">
        <v>60</v>
      </c>
      <c r="B242" s="26" t="s">
        <v>45</v>
      </c>
      <c r="C242" s="11">
        <v>0.45600000000000002</v>
      </c>
    </row>
    <row r="243" spans="1:3" x14ac:dyDescent="0.2">
      <c r="A243" s="5">
        <v>60</v>
      </c>
      <c r="B243" s="26" t="s">
        <v>45</v>
      </c>
      <c r="C243" s="11">
        <v>0.45500000000000002</v>
      </c>
    </row>
    <row r="244" spans="1:3" x14ac:dyDescent="0.2">
      <c r="A244" s="5">
        <v>60</v>
      </c>
      <c r="B244" s="26" t="s">
        <v>45</v>
      </c>
      <c r="C244" s="11">
        <v>0.44600000000000001</v>
      </c>
    </row>
    <row r="245" spans="1:3" x14ac:dyDescent="0.2">
      <c r="A245" s="5">
        <v>60</v>
      </c>
      <c r="B245" s="26" t="s">
        <v>45</v>
      </c>
      <c r="C245" s="11">
        <v>0.46600000000000003</v>
      </c>
    </row>
    <row r="246" spans="1:3" x14ac:dyDescent="0.2">
      <c r="A246" s="5">
        <v>60</v>
      </c>
      <c r="B246" s="26" t="s">
        <v>45</v>
      </c>
      <c r="C246" s="11">
        <v>0.46400000000000002</v>
      </c>
    </row>
    <row r="247" spans="1:3" x14ac:dyDescent="0.2">
      <c r="A247" s="4">
        <v>0</v>
      </c>
      <c r="B247" s="26" t="s">
        <v>46</v>
      </c>
      <c r="C247" s="11">
        <v>0.34699999999999998</v>
      </c>
    </row>
    <row r="248" spans="1:3" x14ac:dyDescent="0.2">
      <c r="A248" s="4">
        <v>0</v>
      </c>
      <c r="B248" s="26" t="s">
        <v>46</v>
      </c>
      <c r="C248" s="11">
        <v>0.32600000000000001</v>
      </c>
    </row>
    <row r="249" spans="1:3" x14ac:dyDescent="0.2">
      <c r="A249" s="4">
        <v>0</v>
      </c>
      <c r="B249" s="26" t="s">
        <v>46</v>
      </c>
      <c r="C249" s="11">
        <v>0.33500000000000002</v>
      </c>
    </row>
    <row r="250" spans="1:3" x14ac:dyDescent="0.2">
      <c r="A250" s="4">
        <v>0</v>
      </c>
      <c r="B250" s="26" t="s">
        <v>46</v>
      </c>
      <c r="C250" s="11">
        <v>0.34399999999999997</v>
      </c>
    </row>
    <row r="251" spans="1:3" x14ac:dyDescent="0.2">
      <c r="A251" s="4">
        <v>0</v>
      </c>
      <c r="B251" s="26" t="s">
        <v>46</v>
      </c>
      <c r="C251" s="11">
        <v>0.33200000000000002</v>
      </c>
    </row>
    <row r="252" spans="1:3" x14ac:dyDescent="0.2">
      <c r="A252" s="5">
        <v>10</v>
      </c>
      <c r="B252" s="26" t="s">
        <v>46</v>
      </c>
      <c r="C252" s="11">
        <v>0.441</v>
      </c>
    </row>
    <row r="253" spans="1:3" x14ac:dyDescent="0.2">
      <c r="A253" s="5">
        <v>10</v>
      </c>
      <c r="B253" s="26" t="s">
        <v>46</v>
      </c>
      <c r="C253" s="11">
        <v>0.41</v>
      </c>
    </row>
    <row r="254" spans="1:3" x14ac:dyDescent="0.2">
      <c r="A254" s="5">
        <v>10</v>
      </c>
      <c r="B254" s="26" t="s">
        <v>46</v>
      </c>
      <c r="C254" s="11">
        <v>0.42899999999999999</v>
      </c>
    </row>
    <row r="255" spans="1:3" x14ac:dyDescent="0.2">
      <c r="A255" s="5">
        <v>10</v>
      </c>
      <c r="B255" s="26" t="s">
        <v>46</v>
      </c>
      <c r="C255" s="11">
        <v>0.44500000000000001</v>
      </c>
    </row>
    <row r="256" spans="1:3" x14ac:dyDescent="0.2">
      <c r="A256" s="5">
        <v>10</v>
      </c>
      <c r="B256" s="26" t="s">
        <v>46</v>
      </c>
      <c r="C256" s="11">
        <v>0.42799999999999999</v>
      </c>
    </row>
    <row r="257" spans="1:3" x14ac:dyDescent="0.2">
      <c r="A257" s="5">
        <v>20</v>
      </c>
      <c r="B257" s="26" t="s">
        <v>46</v>
      </c>
      <c r="C257" s="11">
        <v>0.46300000000000002</v>
      </c>
    </row>
    <row r="258" spans="1:3" x14ac:dyDescent="0.2">
      <c r="A258" s="5">
        <v>20</v>
      </c>
      <c r="B258" s="26" t="s">
        <v>46</v>
      </c>
      <c r="C258" s="11">
        <v>0.441</v>
      </c>
    </row>
    <row r="259" spans="1:3" x14ac:dyDescent="0.2">
      <c r="A259" s="5">
        <v>20</v>
      </c>
      <c r="B259" s="26" t="s">
        <v>46</v>
      </c>
      <c r="C259" s="11">
        <v>0.45300000000000001</v>
      </c>
    </row>
    <row r="260" spans="1:3" x14ac:dyDescent="0.2">
      <c r="A260" s="5">
        <v>20</v>
      </c>
      <c r="B260" s="26" t="s">
        <v>46</v>
      </c>
      <c r="C260" s="11">
        <v>0.46500000000000002</v>
      </c>
    </row>
    <row r="261" spans="1:3" x14ac:dyDescent="0.2">
      <c r="A261" s="5">
        <v>20</v>
      </c>
      <c r="B261" s="26" t="s">
        <v>46</v>
      </c>
      <c r="C261" s="11">
        <v>0.46400000000000002</v>
      </c>
    </row>
    <row r="262" spans="1:3" x14ac:dyDescent="0.2">
      <c r="A262" s="5">
        <v>30</v>
      </c>
      <c r="B262" s="26" t="s">
        <v>46</v>
      </c>
      <c r="C262" s="11">
        <v>0.46899999999999997</v>
      </c>
    </row>
    <row r="263" spans="1:3" x14ac:dyDescent="0.2">
      <c r="A263" s="5">
        <v>30</v>
      </c>
      <c r="B263" s="26" t="s">
        <v>46</v>
      </c>
      <c r="C263" s="11">
        <v>0.436</v>
      </c>
    </row>
    <row r="264" spans="1:3" x14ac:dyDescent="0.2">
      <c r="A264" s="5">
        <v>30</v>
      </c>
      <c r="B264" s="26" t="s">
        <v>46</v>
      </c>
      <c r="C264" s="11">
        <v>0.45600000000000002</v>
      </c>
    </row>
    <row r="265" spans="1:3" x14ac:dyDescent="0.2">
      <c r="A265" s="5">
        <v>30</v>
      </c>
      <c r="B265" s="26" t="s">
        <v>46</v>
      </c>
      <c r="C265" s="11">
        <v>0.45600000000000002</v>
      </c>
    </row>
    <row r="266" spans="1:3" x14ac:dyDescent="0.2">
      <c r="A266" s="5">
        <v>30</v>
      </c>
      <c r="B266" s="26" t="s">
        <v>46</v>
      </c>
      <c r="C266" s="11">
        <v>0.46800000000000003</v>
      </c>
    </row>
    <row r="267" spans="1:3" x14ac:dyDescent="0.2">
      <c r="A267" s="5">
        <v>40</v>
      </c>
      <c r="B267" s="26" t="s">
        <v>46</v>
      </c>
      <c r="C267" s="11">
        <v>0.47699999999999998</v>
      </c>
    </row>
    <row r="268" spans="1:3" x14ac:dyDescent="0.2">
      <c r="A268" s="5">
        <v>40</v>
      </c>
      <c r="B268" s="26" t="s">
        <v>46</v>
      </c>
      <c r="C268" s="11">
        <v>0.437</v>
      </c>
    </row>
    <row r="269" spans="1:3" x14ac:dyDescent="0.2">
      <c r="A269" s="5">
        <v>40</v>
      </c>
      <c r="B269" s="26" t="s">
        <v>46</v>
      </c>
      <c r="C269" s="11">
        <v>0.45400000000000001</v>
      </c>
    </row>
    <row r="270" spans="1:3" x14ac:dyDescent="0.2">
      <c r="A270" s="5">
        <v>40</v>
      </c>
      <c r="B270" s="26" t="s">
        <v>46</v>
      </c>
      <c r="C270" s="11">
        <v>0.46200000000000002</v>
      </c>
    </row>
    <row r="271" spans="1:3" x14ac:dyDescent="0.2">
      <c r="A271" s="5">
        <v>40</v>
      </c>
      <c r="B271" s="26" t="s">
        <v>46</v>
      </c>
      <c r="C271" s="11">
        <v>0.47599999999999998</v>
      </c>
    </row>
    <row r="272" spans="1:3" x14ac:dyDescent="0.2">
      <c r="A272" s="5">
        <v>50</v>
      </c>
      <c r="B272" s="26" t="s">
        <v>46</v>
      </c>
      <c r="C272" s="11">
        <v>0.47199999999999998</v>
      </c>
    </row>
    <row r="273" spans="1:3" x14ac:dyDescent="0.2">
      <c r="A273" s="5">
        <v>50</v>
      </c>
      <c r="B273" s="26" t="s">
        <v>46</v>
      </c>
      <c r="C273" s="11">
        <v>0.439</v>
      </c>
    </row>
    <row r="274" spans="1:3" x14ac:dyDescent="0.2">
      <c r="A274" s="5">
        <v>50</v>
      </c>
      <c r="B274" s="26" t="s">
        <v>46</v>
      </c>
      <c r="C274" s="11">
        <v>0.45900000000000002</v>
      </c>
    </row>
    <row r="275" spans="1:3" x14ac:dyDescent="0.2">
      <c r="A275" s="5">
        <v>50</v>
      </c>
      <c r="B275" s="26" t="s">
        <v>46</v>
      </c>
      <c r="C275" s="11">
        <v>0.46800000000000003</v>
      </c>
    </row>
    <row r="276" spans="1:3" x14ac:dyDescent="0.2">
      <c r="A276" s="5">
        <v>50</v>
      </c>
      <c r="B276" s="26" t="s">
        <v>46</v>
      </c>
      <c r="C276" s="11">
        <v>0.48399999999999999</v>
      </c>
    </row>
    <row r="277" spans="1:3" x14ac:dyDescent="0.2">
      <c r="A277" s="5">
        <v>60</v>
      </c>
      <c r="B277" s="26" t="s">
        <v>46</v>
      </c>
      <c r="C277" s="11">
        <v>0.47</v>
      </c>
    </row>
    <row r="278" spans="1:3" x14ac:dyDescent="0.2">
      <c r="A278" s="5">
        <v>60</v>
      </c>
      <c r="B278" s="26" t="s">
        <v>46</v>
      </c>
      <c r="C278" s="11">
        <v>0.439</v>
      </c>
    </row>
    <row r="279" spans="1:3" x14ac:dyDescent="0.2">
      <c r="A279" s="5">
        <v>60</v>
      </c>
      <c r="B279" s="26" t="s">
        <v>46</v>
      </c>
      <c r="C279" s="11">
        <v>0.46600000000000003</v>
      </c>
    </row>
    <row r="280" spans="1:3" x14ac:dyDescent="0.2">
      <c r="A280" s="5">
        <v>60</v>
      </c>
      <c r="B280" s="26" t="s">
        <v>46</v>
      </c>
      <c r="C280" s="11">
        <v>0.47599999999999998</v>
      </c>
    </row>
    <row r="281" spans="1:3" x14ac:dyDescent="0.2">
      <c r="A281" s="5">
        <v>60</v>
      </c>
      <c r="B281" s="26" t="s">
        <v>46</v>
      </c>
      <c r="C281" s="11">
        <v>0.48399999999999999</v>
      </c>
    </row>
    <row r="282" spans="1:3" x14ac:dyDescent="0.2">
      <c r="A282" s="4">
        <v>0</v>
      </c>
      <c r="B282" s="26" t="s">
        <v>47</v>
      </c>
      <c r="C282" s="11">
        <v>0.32700000000000001</v>
      </c>
    </row>
    <row r="283" spans="1:3" x14ac:dyDescent="0.2">
      <c r="A283" s="4">
        <v>0</v>
      </c>
      <c r="B283" s="26" t="s">
        <v>47</v>
      </c>
      <c r="C283" s="11">
        <v>0.34499999999999997</v>
      </c>
    </row>
    <row r="284" spans="1:3" x14ac:dyDescent="0.2">
      <c r="A284" s="4">
        <v>0</v>
      </c>
      <c r="B284" s="26" t="s">
        <v>47</v>
      </c>
      <c r="C284" s="11">
        <v>0.34</v>
      </c>
    </row>
    <row r="285" spans="1:3" x14ac:dyDescent="0.2">
      <c r="A285" s="4">
        <v>0</v>
      </c>
      <c r="B285" s="26" t="s">
        <v>47</v>
      </c>
      <c r="C285" s="11">
        <v>0.32300000000000001</v>
      </c>
    </row>
    <row r="286" spans="1:3" x14ac:dyDescent="0.2">
      <c r="A286" s="4">
        <v>0</v>
      </c>
      <c r="B286" s="26" t="s">
        <v>47</v>
      </c>
      <c r="C286" s="11">
        <v>0.34300000000000003</v>
      </c>
    </row>
    <row r="287" spans="1:3" x14ac:dyDescent="0.2">
      <c r="A287" s="5">
        <v>10</v>
      </c>
      <c r="B287" s="26" t="s">
        <v>47</v>
      </c>
      <c r="C287" s="11">
        <v>0.42</v>
      </c>
    </row>
    <row r="288" spans="1:3" x14ac:dyDescent="0.2">
      <c r="A288" s="5">
        <v>10</v>
      </c>
      <c r="B288" s="26" t="s">
        <v>47</v>
      </c>
      <c r="C288" s="11">
        <v>0.43</v>
      </c>
    </row>
    <row r="289" spans="1:3" x14ac:dyDescent="0.2">
      <c r="A289" s="5">
        <v>10</v>
      </c>
      <c r="B289" s="26" t="s">
        <v>47</v>
      </c>
      <c r="C289" s="11">
        <v>0.42599999999999999</v>
      </c>
    </row>
    <row r="290" spans="1:3" x14ac:dyDescent="0.2">
      <c r="A290" s="5">
        <v>10</v>
      </c>
      <c r="B290" s="26" t="s">
        <v>47</v>
      </c>
      <c r="C290" s="11">
        <v>0.41499999999999998</v>
      </c>
    </row>
    <row r="291" spans="1:3" x14ac:dyDescent="0.2">
      <c r="A291" s="5">
        <v>10</v>
      </c>
      <c r="B291" s="26" t="s">
        <v>47</v>
      </c>
      <c r="C291" s="11">
        <v>0.434</v>
      </c>
    </row>
    <row r="292" spans="1:3" x14ac:dyDescent="0.2">
      <c r="A292" s="5">
        <v>20</v>
      </c>
      <c r="B292" s="26" t="s">
        <v>47</v>
      </c>
      <c r="C292" s="11">
        <v>0.42499999999999999</v>
      </c>
    </row>
    <row r="293" spans="1:3" x14ac:dyDescent="0.2">
      <c r="A293" s="5">
        <v>20</v>
      </c>
      <c r="B293" s="26" t="s">
        <v>47</v>
      </c>
      <c r="C293" s="11">
        <v>0.46</v>
      </c>
    </row>
    <row r="294" spans="1:3" x14ac:dyDescent="0.2">
      <c r="A294" s="5">
        <v>20</v>
      </c>
      <c r="B294" s="26" t="s">
        <v>47</v>
      </c>
      <c r="C294" s="11">
        <v>0.44500000000000001</v>
      </c>
    </row>
    <row r="295" spans="1:3" x14ac:dyDescent="0.2">
      <c r="A295" s="5">
        <v>20</v>
      </c>
      <c r="B295" s="26" t="s">
        <v>47</v>
      </c>
      <c r="C295" s="11">
        <v>0.42499999999999999</v>
      </c>
    </row>
    <row r="296" spans="1:3" x14ac:dyDescent="0.2">
      <c r="A296" s="5">
        <v>20</v>
      </c>
      <c r="B296" s="26" t="s">
        <v>47</v>
      </c>
      <c r="C296" s="11">
        <v>0.45600000000000002</v>
      </c>
    </row>
    <row r="297" spans="1:3" x14ac:dyDescent="0.2">
      <c r="A297" s="5">
        <v>30</v>
      </c>
      <c r="B297" s="26" t="s">
        <v>47</v>
      </c>
      <c r="C297" s="11">
        <v>0.434</v>
      </c>
    </row>
    <row r="298" spans="1:3" x14ac:dyDescent="0.2">
      <c r="A298" s="5">
        <v>30</v>
      </c>
      <c r="B298" s="26" t="s">
        <v>47</v>
      </c>
      <c r="C298" s="11">
        <v>0.46100000000000002</v>
      </c>
    </row>
    <row r="299" spans="1:3" x14ac:dyDescent="0.2">
      <c r="A299" s="5">
        <v>30</v>
      </c>
      <c r="B299" s="26" t="s">
        <v>47</v>
      </c>
      <c r="C299" s="11">
        <v>0.45500000000000002</v>
      </c>
    </row>
    <row r="300" spans="1:3" x14ac:dyDescent="0.2">
      <c r="A300" s="5">
        <v>30</v>
      </c>
      <c r="B300" s="26" t="s">
        <v>47</v>
      </c>
      <c r="C300" s="11">
        <v>0.434</v>
      </c>
    </row>
    <row r="301" spans="1:3" x14ac:dyDescent="0.2">
      <c r="A301" s="5">
        <v>30</v>
      </c>
      <c r="B301" s="26" t="s">
        <v>47</v>
      </c>
      <c r="C301" s="11">
        <v>0.46600000000000003</v>
      </c>
    </row>
    <row r="302" spans="1:3" x14ac:dyDescent="0.2">
      <c r="A302" s="5">
        <v>40</v>
      </c>
      <c r="B302" s="26" t="s">
        <v>47</v>
      </c>
      <c r="C302" s="11">
        <v>0.44600000000000001</v>
      </c>
    </row>
    <row r="303" spans="1:3" x14ac:dyDescent="0.2">
      <c r="A303" s="5">
        <v>40</v>
      </c>
      <c r="B303" s="26" t="s">
        <v>47</v>
      </c>
      <c r="C303" s="11">
        <v>0.47199999999999998</v>
      </c>
    </row>
    <row r="304" spans="1:3" x14ac:dyDescent="0.2">
      <c r="A304" s="5">
        <v>40</v>
      </c>
      <c r="B304" s="26" t="s">
        <v>47</v>
      </c>
      <c r="C304" s="11">
        <v>0.46</v>
      </c>
    </row>
    <row r="305" spans="1:3" x14ac:dyDescent="0.2">
      <c r="A305" s="5">
        <v>40</v>
      </c>
      <c r="B305" s="26" t="s">
        <v>47</v>
      </c>
      <c r="C305" s="11">
        <v>0.441</v>
      </c>
    </row>
    <row r="306" spans="1:3" x14ac:dyDescent="0.2">
      <c r="A306" s="5">
        <v>40</v>
      </c>
      <c r="B306" s="26" t="s">
        <v>47</v>
      </c>
      <c r="C306" s="11">
        <v>0.46100000000000002</v>
      </c>
    </row>
    <row r="307" spans="1:3" x14ac:dyDescent="0.2">
      <c r="A307" s="5">
        <v>50</v>
      </c>
      <c r="B307" s="26" t="s">
        <v>47</v>
      </c>
      <c r="C307" s="11">
        <v>0.44500000000000001</v>
      </c>
    </row>
    <row r="308" spans="1:3" x14ac:dyDescent="0.2">
      <c r="A308" s="5">
        <v>50</v>
      </c>
      <c r="B308" s="26" t="s">
        <v>47</v>
      </c>
      <c r="C308" s="11">
        <v>0.47</v>
      </c>
    </row>
    <row r="309" spans="1:3" x14ac:dyDescent="0.2">
      <c r="A309" s="5">
        <v>50</v>
      </c>
      <c r="B309" s="26" t="s">
        <v>47</v>
      </c>
      <c r="C309" s="11">
        <v>0.45500000000000002</v>
      </c>
    </row>
    <row r="310" spans="1:3" x14ac:dyDescent="0.2">
      <c r="A310" s="5">
        <v>50</v>
      </c>
      <c r="B310" s="26" t="s">
        <v>47</v>
      </c>
      <c r="C310" s="11">
        <v>0.442</v>
      </c>
    </row>
    <row r="311" spans="1:3" x14ac:dyDescent="0.2">
      <c r="A311" s="5">
        <v>50</v>
      </c>
      <c r="B311" s="26" t="s">
        <v>47</v>
      </c>
      <c r="C311" s="11">
        <v>0.46700000000000003</v>
      </c>
    </row>
    <row r="312" spans="1:3" x14ac:dyDescent="0.2">
      <c r="A312" s="5">
        <v>60</v>
      </c>
      <c r="B312" s="26" t="s">
        <v>47</v>
      </c>
      <c r="C312" s="11">
        <v>0.44400000000000001</v>
      </c>
    </row>
    <row r="313" spans="1:3" x14ac:dyDescent="0.2">
      <c r="A313" s="5">
        <v>60</v>
      </c>
      <c r="B313" s="26" t="s">
        <v>47</v>
      </c>
      <c r="C313" s="11">
        <v>0.47199999999999998</v>
      </c>
    </row>
    <row r="314" spans="1:3" x14ac:dyDescent="0.2">
      <c r="A314" s="5">
        <v>60</v>
      </c>
      <c r="B314" s="26" t="s">
        <v>47</v>
      </c>
      <c r="C314" s="11">
        <v>0.45900000000000002</v>
      </c>
    </row>
    <row r="315" spans="1:3" x14ac:dyDescent="0.2">
      <c r="A315" s="5">
        <v>60</v>
      </c>
      <c r="B315" s="26" t="s">
        <v>47</v>
      </c>
      <c r="C315" s="11">
        <v>0.44500000000000001</v>
      </c>
    </row>
    <row r="316" spans="1:3" x14ac:dyDescent="0.2">
      <c r="A316" s="5">
        <v>60</v>
      </c>
      <c r="B316" s="26" t="s">
        <v>47</v>
      </c>
      <c r="C316" s="11">
        <v>0.46899999999999997</v>
      </c>
    </row>
    <row r="317" spans="1:3" x14ac:dyDescent="0.2">
      <c r="A317" s="4">
        <v>0</v>
      </c>
      <c r="B317" s="26" t="s">
        <v>48</v>
      </c>
      <c r="C317" s="11">
        <v>0.36299999999999999</v>
      </c>
    </row>
    <row r="318" spans="1:3" x14ac:dyDescent="0.2">
      <c r="A318" s="4">
        <v>0</v>
      </c>
      <c r="B318" s="26" t="s">
        <v>48</v>
      </c>
      <c r="C318" s="11">
        <v>0.35699999999999998</v>
      </c>
    </row>
    <row r="319" spans="1:3" x14ac:dyDescent="0.2">
      <c r="A319" s="4">
        <v>0</v>
      </c>
      <c r="B319" s="26" t="s">
        <v>48</v>
      </c>
      <c r="C319" s="11">
        <v>0.35299999999999998</v>
      </c>
    </row>
    <row r="320" spans="1:3" x14ac:dyDescent="0.2">
      <c r="A320" s="4">
        <v>0</v>
      </c>
      <c r="B320" s="26" t="s">
        <v>48</v>
      </c>
      <c r="C320" s="11">
        <v>0.35</v>
      </c>
    </row>
    <row r="321" spans="1:3" x14ac:dyDescent="0.2">
      <c r="A321" s="4">
        <v>0</v>
      </c>
      <c r="B321" s="26" t="s">
        <v>48</v>
      </c>
      <c r="C321" s="11">
        <v>0.36699999999999999</v>
      </c>
    </row>
    <row r="322" spans="1:3" x14ac:dyDescent="0.2">
      <c r="A322" s="5">
        <v>10</v>
      </c>
      <c r="B322" s="26" t="s">
        <v>48</v>
      </c>
      <c r="C322" s="11">
        <v>0.44500000000000001</v>
      </c>
    </row>
    <row r="323" spans="1:3" x14ac:dyDescent="0.2">
      <c r="A323" s="5">
        <v>10</v>
      </c>
      <c r="B323" s="26" t="s">
        <v>48</v>
      </c>
      <c r="C323" s="11">
        <v>0.44500000000000001</v>
      </c>
    </row>
    <row r="324" spans="1:3" x14ac:dyDescent="0.2">
      <c r="A324" s="5">
        <v>10</v>
      </c>
      <c r="B324" s="26" t="s">
        <v>48</v>
      </c>
      <c r="C324" s="11">
        <v>0.437</v>
      </c>
    </row>
    <row r="325" spans="1:3" x14ac:dyDescent="0.2">
      <c r="A325" s="5">
        <v>10</v>
      </c>
      <c r="B325" s="26" t="s">
        <v>48</v>
      </c>
      <c r="C325" s="11">
        <v>0.432</v>
      </c>
    </row>
    <row r="326" spans="1:3" x14ac:dyDescent="0.2">
      <c r="A326" s="5">
        <v>10</v>
      </c>
      <c r="B326" s="26" t="s">
        <v>48</v>
      </c>
      <c r="C326" s="11">
        <v>0.45300000000000001</v>
      </c>
    </row>
    <row r="327" spans="1:3" x14ac:dyDescent="0.2">
      <c r="A327" s="5">
        <v>20</v>
      </c>
      <c r="B327" s="26" t="s">
        <v>48</v>
      </c>
      <c r="C327" s="11">
        <v>0.46800000000000003</v>
      </c>
    </row>
    <row r="328" spans="1:3" x14ac:dyDescent="0.2">
      <c r="A328" s="5">
        <v>20</v>
      </c>
      <c r="B328" s="26" t="s">
        <v>48</v>
      </c>
      <c r="C328" s="11">
        <v>0.46</v>
      </c>
    </row>
    <row r="329" spans="1:3" x14ac:dyDescent="0.2">
      <c r="A329" s="5">
        <v>20</v>
      </c>
      <c r="B329" s="26" t="s">
        <v>48</v>
      </c>
      <c r="C329" s="11">
        <v>0.45400000000000001</v>
      </c>
    </row>
    <row r="330" spans="1:3" x14ac:dyDescent="0.2">
      <c r="A330" s="5">
        <v>20</v>
      </c>
      <c r="B330" s="26" t="s">
        <v>48</v>
      </c>
      <c r="C330" s="11">
        <v>0.44</v>
      </c>
    </row>
    <row r="331" spans="1:3" x14ac:dyDescent="0.2">
      <c r="A331" s="5">
        <v>20</v>
      </c>
      <c r="B331" s="26" t="s">
        <v>48</v>
      </c>
      <c r="C331" s="11">
        <v>0.46899999999999997</v>
      </c>
    </row>
    <row r="332" spans="1:3" x14ac:dyDescent="0.2">
      <c r="A332" s="5">
        <v>30</v>
      </c>
      <c r="B332" s="26" t="s">
        <v>48</v>
      </c>
      <c r="C332" s="11">
        <v>0.47699999999999998</v>
      </c>
    </row>
    <row r="333" spans="1:3" x14ac:dyDescent="0.2">
      <c r="A333" s="5">
        <v>30</v>
      </c>
      <c r="B333" s="26" t="s">
        <v>48</v>
      </c>
      <c r="C333" s="11">
        <v>0.46300000000000002</v>
      </c>
    </row>
    <row r="334" spans="1:3" x14ac:dyDescent="0.2">
      <c r="A334" s="5">
        <v>30</v>
      </c>
      <c r="B334" s="26" t="s">
        <v>48</v>
      </c>
      <c r="C334" s="11">
        <v>0.45</v>
      </c>
    </row>
    <row r="335" spans="1:3" x14ac:dyDescent="0.2">
      <c r="A335" s="5">
        <v>30</v>
      </c>
      <c r="B335" s="26" t="s">
        <v>48</v>
      </c>
      <c r="C335" s="11">
        <v>0.443</v>
      </c>
    </row>
    <row r="336" spans="1:3" x14ac:dyDescent="0.2">
      <c r="A336" s="5">
        <v>30</v>
      </c>
      <c r="B336" s="26" t="s">
        <v>48</v>
      </c>
      <c r="C336" s="11">
        <v>0.46500000000000002</v>
      </c>
    </row>
    <row r="337" spans="1:3" x14ac:dyDescent="0.2">
      <c r="A337" s="5">
        <v>40</v>
      </c>
      <c r="B337" s="26" t="s">
        <v>48</v>
      </c>
      <c r="C337" s="11">
        <v>0.47099999999999997</v>
      </c>
    </row>
    <row r="338" spans="1:3" x14ac:dyDescent="0.2">
      <c r="A338" s="5">
        <v>40</v>
      </c>
      <c r="B338" s="26" t="s">
        <v>48</v>
      </c>
      <c r="C338" s="11">
        <v>0.45700000000000002</v>
      </c>
    </row>
    <row r="339" spans="1:3" x14ac:dyDescent="0.2">
      <c r="A339" s="5">
        <v>40</v>
      </c>
      <c r="B339" s="26" t="s">
        <v>48</v>
      </c>
      <c r="C339" s="11">
        <v>0.45500000000000002</v>
      </c>
    </row>
    <row r="340" spans="1:3" x14ac:dyDescent="0.2">
      <c r="A340" s="5">
        <v>40</v>
      </c>
      <c r="B340" s="26" t="s">
        <v>48</v>
      </c>
      <c r="C340" s="11">
        <v>0.45100000000000001</v>
      </c>
    </row>
    <row r="341" spans="1:3" x14ac:dyDescent="0.2">
      <c r="A341" s="5">
        <v>40</v>
      </c>
      <c r="B341" s="26" t="s">
        <v>48</v>
      </c>
      <c r="C341" s="11">
        <v>0.47299999999999998</v>
      </c>
    </row>
    <row r="342" spans="1:3" x14ac:dyDescent="0.2">
      <c r="A342" s="5">
        <v>50</v>
      </c>
      <c r="B342" s="26" t="s">
        <v>48</v>
      </c>
      <c r="C342" s="11">
        <v>0.47699999999999998</v>
      </c>
    </row>
    <row r="343" spans="1:3" x14ac:dyDescent="0.2">
      <c r="A343" s="5">
        <v>50</v>
      </c>
      <c r="B343" s="26" t="s">
        <v>48</v>
      </c>
      <c r="C343" s="11">
        <v>0.45700000000000002</v>
      </c>
    </row>
    <row r="344" spans="1:3" x14ac:dyDescent="0.2">
      <c r="A344" s="5">
        <v>50</v>
      </c>
      <c r="B344" s="26" t="s">
        <v>48</v>
      </c>
      <c r="C344" s="11">
        <v>0.45200000000000001</v>
      </c>
    </row>
    <row r="345" spans="1:3" x14ac:dyDescent="0.2">
      <c r="A345" s="5">
        <v>50</v>
      </c>
      <c r="B345" s="26" t="s">
        <v>48</v>
      </c>
      <c r="C345" s="11">
        <v>0.45600000000000002</v>
      </c>
    </row>
    <row r="346" spans="1:3" x14ac:dyDescent="0.2">
      <c r="A346" s="5">
        <v>50</v>
      </c>
      <c r="B346" s="26" t="s">
        <v>48</v>
      </c>
      <c r="C346" s="11">
        <v>0.46700000000000003</v>
      </c>
    </row>
    <row r="347" spans="1:3" x14ac:dyDescent="0.2">
      <c r="A347" s="5">
        <v>60</v>
      </c>
      <c r="B347" s="26" t="s">
        <v>48</v>
      </c>
      <c r="C347" s="11">
        <v>0.47599999999999998</v>
      </c>
    </row>
    <row r="348" spans="1:3" x14ac:dyDescent="0.2">
      <c r="A348" s="5">
        <v>60</v>
      </c>
      <c r="B348" s="26" t="s">
        <v>48</v>
      </c>
      <c r="C348" s="11">
        <v>0.45900000000000002</v>
      </c>
    </row>
    <row r="349" spans="1:3" x14ac:dyDescent="0.2">
      <c r="A349" s="5">
        <v>60</v>
      </c>
      <c r="B349" s="26" t="s">
        <v>48</v>
      </c>
      <c r="C349" s="11">
        <v>0.45500000000000002</v>
      </c>
    </row>
    <row r="350" spans="1:3" x14ac:dyDescent="0.2">
      <c r="A350" s="5">
        <v>60</v>
      </c>
      <c r="B350" s="26" t="s">
        <v>48</v>
      </c>
      <c r="C350" s="11">
        <v>0.45200000000000001</v>
      </c>
    </row>
    <row r="351" spans="1:3" x14ac:dyDescent="0.2">
      <c r="A351" s="5">
        <v>60</v>
      </c>
      <c r="B351" s="26" t="s">
        <v>48</v>
      </c>
      <c r="C351" s="11">
        <v>0.47299999999999998</v>
      </c>
    </row>
    <row r="352" spans="1:3" x14ac:dyDescent="0.2">
      <c r="A352" s="4">
        <v>0</v>
      </c>
      <c r="B352" s="26" t="s">
        <v>49</v>
      </c>
      <c r="C352" s="11">
        <v>0.38900000000000001</v>
      </c>
    </row>
    <row r="353" spans="1:3" x14ac:dyDescent="0.2">
      <c r="A353" s="4">
        <v>0</v>
      </c>
      <c r="B353" s="26" t="s">
        <v>49</v>
      </c>
      <c r="C353" s="11">
        <v>0.38800000000000001</v>
      </c>
    </row>
    <row r="354" spans="1:3" x14ac:dyDescent="0.2">
      <c r="A354" s="4">
        <v>0</v>
      </c>
      <c r="B354" s="26" t="s">
        <v>49</v>
      </c>
      <c r="C354" s="11">
        <v>0.38900000000000001</v>
      </c>
    </row>
    <row r="355" spans="1:3" x14ac:dyDescent="0.2">
      <c r="A355" s="4">
        <v>0</v>
      </c>
      <c r="B355" s="26" t="s">
        <v>49</v>
      </c>
      <c r="C355" s="11">
        <v>0.38900000000000001</v>
      </c>
    </row>
    <row r="356" spans="1:3" x14ac:dyDescent="0.2">
      <c r="A356" s="4">
        <v>0</v>
      </c>
      <c r="B356" s="26" t="s">
        <v>49</v>
      </c>
      <c r="C356" s="11">
        <v>0.39300000000000002</v>
      </c>
    </row>
    <row r="357" spans="1:3" x14ac:dyDescent="0.2">
      <c r="A357" s="5">
        <v>10</v>
      </c>
      <c r="B357" s="26" t="s">
        <v>49</v>
      </c>
      <c r="C357" s="11">
        <v>0.45200000000000001</v>
      </c>
    </row>
    <row r="358" spans="1:3" x14ac:dyDescent="0.2">
      <c r="A358" s="5">
        <v>10</v>
      </c>
      <c r="B358" s="26" t="s">
        <v>49</v>
      </c>
      <c r="C358" s="11">
        <v>0.45500000000000002</v>
      </c>
    </row>
    <row r="359" spans="1:3" x14ac:dyDescent="0.2">
      <c r="A359" s="5">
        <v>10</v>
      </c>
      <c r="B359" s="26" t="s">
        <v>49</v>
      </c>
      <c r="C359" s="11">
        <v>0.46</v>
      </c>
    </row>
    <row r="360" spans="1:3" x14ac:dyDescent="0.2">
      <c r="A360" s="5">
        <v>10</v>
      </c>
      <c r="B360" s="26" t="s">
        <v>49</v>
      </c>
      <c r="C360" s="11">
        <v>0.45900000000000002</v>
      </c>
    </row>
    <row r="361" spans="1:3" x14ac:dyDescent="0.2">
      <c r="A361" s="5">
        <v>10</v>
      </c>
      <c r="B361" s="26" t="s">
        <v>49</v>
      </c>
      <c r="C361" s="11">
        <v>0.45900000000000002</v>
      </c>
    </row>
    <row r="362" spans="1:3" x14ac:dyDescent="0.2">
      <c r="A362" s="5">
        <v>20</v>
      </c>
      <c r="B362" s="26" t="s">
        <v>49</v>
      </c>
      <c r="C362" s="11">
        <v>0.48799999999999999</v>
      </c>
    </row>
    <row r="363" spans="1:3" x14ac:dyDescent="0.2">
      <c r="A363" s="5">
        <v>20</v>
      </c>
      <c r="B363" s="26" t="s">
        <v>49</v>
      </c>
      <c r="C363" s="11">
        <v>0.48199999999999998</v>
      </c>
    </row>
    <row r="364" spans="1:3" x14ac:dyDescent="0.2">
      <c r="A364" s="5">
        <v>20</v>
      </c>
      <c r="B364" s="26" t="s">
        <v>49</v>
      </c>
      <c r="C364" s="11">
        <v>0.496</v>
      </c>
    </row>
    <row r="365" spans="1:3" x14ac:dyDescent="0.2">
      <c r="A365" s="5">
        <v>20</v>
      </c>
      <c r="B365" s="26" t="s">
        <v>49</v>
      </c>
      <c r="C365" s="11">
        <v>0.498</v>
      </c>
    </row>
    <row r="366" spans="1:3" x14ac:dyDescent="0.2">
      <c r="A366" s="5">
        <v>20</v>
      </c>
      <c r="B366" s="26" t="s">
        <v>49</v>
      </c>
      <c r="C366" s="11">
        <v>0.498</v>
      </c>
    </row>
    <row r="367" spans="1:3" x14ac:dyDescent="0.2">
      <c r="A367" s="5">
        <v>30</v>
      </c>
      <c r="B367" s="26" t="s">
        <v>49</v>
      </c>
      <c r="C367" s="11">
        <v>0.5</v>
      </c>
    </row>
    <row r="368" spans="1:3" x14ac:dyDescent="0.2">
      <c r="A368" s="5">
        <v>30</v>
      </c>
      <c r="B368" s="26" t="s">
        <v>49</v>
      </c>
      <c r="C368" s="11">
        <v>0.499</v>
      </c>
    </row>
    <row r="369" spans="1:3" x14ac:dyDescent="0.2">
      <c r="A369" s="5">
        <v>30</v>
      </c>
      <c r="B369" s="26" t="s">
        <v>49</v>
      </c>
      <c r="C369" s="11">
        <v>0.51100000000000001</v>
      </c>
    </row>
    <row r="370" spans="1:3" x14ac:dyDescent="0.2">
      <c r="A370" s="5">
        <v>30</v>
      </c>
      <c r="B370" s="26" t="s">
        <v>49</v>
      </c>
      <c r="C370" s="11">
        <v>0.50900000000000001</v>
      </c>
    </row>
    <row r="371" spans="1:3" x14ac:dyDescent="0.2">
      <c r="A371" s="5">
        <v>30</v>
      </c>
      <c r="B371" s="26" t="s">
        <v>49</v>
      </c>
      <c r="C371" s="11">
        <v>0.50700000000000001</v>
      </c>
    </row>
    <row r="372" spans="1:3" x14ac:dyDescent="0.2">
      <c r="A372" s="5">
        <v>40</v>
      </c>
      <c r="B372" s="26" t="s">
        <v>49</v>
      </c>
      <c r="C372" s="11">
        <v>0.50600000000000001</v>
      </c>
    </row>
    <row r="373" spans="1:3" x14ac:dyDescent="0.2">
      <c r="A373" s="5">
        <v>40</v>
      </c>
      <c r="B373" s="26" t="s">
        <v>49</v>
      </c>
      <c r="C373" s="11">
        <v>0.503</v>
      </c>
    </row>
    <row r="374" spans="1:3" x14ac:dyDescent="0.2">
      <c r="A374" s="5">
        <v>40</v>
      </c>
      <c r="B374" s="26" t="s">
        <v>49</v>
      </c>
      <c r="C374" s="11">
        <v>0.51100000000000001</v>
      </c>
    </row>
    <row r="375" spans="1:3" x14ac:dyDescent="0.2">
      <c r="A375" s="5">
        <v>40</v>
      </c>
      <c r="B375" s="26" t="s">
        <v>49</v>
      </c>
      <c r="C375" s="11">
        <v>0.51200000000000001</v>
      </c>
    </row>
    <row r="376" spans="1:3" x14ac:dyDescent="0.2">
      <c r="A376" s="5">
        <v>40</v>
      </c>
      <c r="B376" s="26" t="s">
        <v>49</v>
      </c>
      <c r="C376" s="11">
        <v>0.51200000000000001</v>
      </c>
    </row>
    <row r="377" spans="1:3" x14ac:dyDescent="0.2">
      <c r="A377" s="5">
        <v>50</v>
      </c>
      <c r="B377" s="26" t="s">
        <v>49</v>
      </c>
      <c r="C377" s="11">
        <v>0.50700000000000001</v>
      </c>
    </row>
    <row r="378" spans="1:3" x14ac:dyDescent="0.2">
      <c r="A378" s="5">
        <v>50</v>
      </c>
      <c r="B378" s="26" t="s">
        <v>49</v>
      </c>
      <c r="C378" s="11">
        <v>0.50700000000000001</v>
      </c>
    </row>
    <row r="379" spans="1:3" x14ac:dyDescent="0.2">
      <c r="A379" s="5">
        <v>50</v>
      </c>
      <c r="B379" s="26" t="s">
        <v>49</v>
      </c>
      <c r="C379" s="11">
        <v>0.51500000000000001</v>
      </c>
    </row>
    <row r="380" spans="1:3" x14ac:dyDescent="0.2">
      <c r="A380" s="5">
        <v>50</v>
      </c>
      <c r="B380" s="26" t="s">
        <v>49</v>
      </c>
      <c r="C380" s="11">
        <v>0.51600000000000001</v>
      </c>
    </row>
    <row r="381" spans="1:3" x14ac:dyDescent="0.2">
      <c r="A381" s="5">
        <v>50</v>
      </c>
      <c r="B381" s="26" t="s">
        <v>49</v>
      </c>
      <c r="C381" s="11">
        <v>0.51400000000000001</v>
      </c>
    </row>
    <row r="382" spans="1:3" x14ac:dyDescent="0.2">
      <c r="A382" s="5">
        <v>60</v>
      </c>
      <c r="B382" s="26" t="s">
        <v>49</v>
      </c>
      <c r="C382" s="11">
        <v>0.51100000000000001</v>
      </c>
    </row>
    <row r="383" spans="1:3" x14ac:dyDescent="0.2">
      <c r="A383" s="5">
        <v>60</v>
      </c>
      <c r="B383" s="26" t="s">
        <v>49</v>
      </c>
      <c r="C383" s="11">
        <v>0.50900000000000001</v>
      </c>
    </row>
    <row r="384" spans="1:3" x14ac:dyDescent="0.2">
      <c r="A384" s="5">
        <v>60</v>
      </c>
      <c r="B384" s="26" t="s">
        <v>49</v>
      </c>
      <c r="C384" s="11">
        <v>0.51500000000000001</v>
      </c>
    </row>
    <row r="385" spans="1:3" x14ac:dyDescent="0.2">
      <c r="A385" s="5">
        <v>60</v>
      </c>
      <c r="B385" s="26" t="s">
        <v>49</v>
      </c>
      <c r="C385" s="11">
        <v>0.51400000000000001</v>
      </c>
    </row>
    <row r="386" spans="1:3" x14ac:dyDescent="0.2">
      <c r="A386" s="5">
        <v>60</v>
      </c>
      <c r="B386" s="26" t="s">
        <v>49</v>
      </c>
      <c r="C386" s="11">
        <v>0.51400000000000001</v>
      </c>
    </row>
    <row r="387" spans="1:3" x14ac:dyDescent="0.2">
      <c r="A387" s="4">
        <v>0</v>
      </c>
      <c r="B387" s="26" t="s">
        <v>52</v>
      </c>
      <c r="C387" s="11">
        <v>0.4</v>
      </c>
    </row>
    <row r="388" spans="1:3" x14ac:dyDescent="0.2">
      <c r="A388" s="4">
        <v>0</v>
      </c>
      <c r="B388" s="26" t="s">
        <v>52</v>
      </c>
      <c r="C388" s="11">
        <v>0.39200000000000002</v>
      </c>
    </row>
    <row r="389" spans="1:3" x14ac:dyDescent="0.2">
      <c r="A389" s="4">
        <v>0</v>
      </c>
      <c r="B389" s="26" t="s">
        <v>52</v>
      </c>
      <c r="C389" s="11">
        <v>0.41399999999999998</v>
      </c>
    </row>
    <row r="390" spans="1:3" x14ac:dyDescent="0.2">
      <c r="A390" s="4">
        <v>0</v>
      </c>
      <c r="B390" s="26" t="s">
        <v>52</v>
      </c>
      <c r="C390" s="11">
        <v>0.40200000000000002</v>
      </c>
    </row>
    <row r="391" spans="1:3" x14ac:dyDescent="0.2">
      <c r="A391" s="4">
        <v>0</v>
      </c>
      <c r="B391" s="26" t="s">
        <v>52</v>
      </c>
      <c r="C391" s="11">
        <v>0.39700000000000002</v>
      </c>
    </row>
    <row r="392" spans="1:3" x14ac:dyDescent="0.2">
      <c r="A392" s="5">
        <v>10</v>
      </c>
      <c r="B392" s="26" t="s">
        <v>52</v>
      </c>
      <c r="C392" s="11">
        <v>0.47799999999999998</v>
      </c>
    </row>
    <row r="393" spans="1:3" x14ac:dyDescent="0.2">
      <c r="A393" s="5">
        <v>10</v>
      </c>
      <c r="B393" s="26" t="s">
        <v>52</v>
      </c>
      <c r="C393" s="11">
        <v>0.46600000000000003</v>
      </c>
    </row>
    <row r="394" spans="1:3" x14ac:dyDescent="0.2">
      <c r="A394" s="5">
        <v>10</v>
      </c>
      <c r="B394" s="26" t="s">
        <v>52</v>
      </c>
      <c r="C394" s="11">
        <v>0.48499999999999999</v>
      </c>
    </row>
    <row r="395" spans="1:3" x14ac:dyDescent="0.2">
      <c r="A395" s="5">
        <v>10</v>
      </c>
      <c r="B395" s="26" t="s">
        <v>52</v>
      </c>
      <c r="C395" s="11">
        <v>0.45800000000000002</v>
      </c>
    </row>
    <row r="396" spans="1:3" x14ac:dyDescent="0.2">
      <c r="A396" s="5">
        <v>10</v>
      </c>
      <c r="B396" s="26" t="s">
        <v>52</v>
      </c>
      <c r="C396" s="11">
        <v>0.45200000000000001</v>
      </c>
    </row>
    <row r="397" spans="1:3" x14ac:dyDescent="0.2">
      <c r="A397" s="5">
        <v>20</v>
      </c>
      <c r="B397" s="26" t="s">
        <v>52</v>
      </c>
      <c r="C397" s="11">
        <v>0.50800000000000001</v>
      </c>
    </row>
    <row r="398" spans="1:3" x14ac:dyDescent="0.2">
      <c r="A398" s="5">
        <v>20</v>
      </c>
      <c r="B398" s="26" t="s">
        <v>52</v>
      </c>
      <c r="C398" s="11">
        <v>0.49399999999999999</v>
      </c>
    </row>
    <row r="399" spans="1:3" x14ac:dyDescent="0.2">
      <c r="A399" s="5">
        <v>20</v>
      </c>
      <c r="B399" s="26" t="s">
        <v>52</v>
      </c>
      <c r="C399" s="11">
        <v>0.51800000000000002</v>
      </c>
    </row>
    <row r="400" spans="1:3" x14ac:dyDescent="0.2">
      <c r="A400" s="5">
        <v>20</v>
      </c>
      <c r="B400" s="26" t="s">
        <v>52</v>
      </c>
      <c r="C400" s="11">
        <v>0.48299999999999998</v>
      </c>
    </row>
    <row r="401" spans="1:3" x14ac:dyDescent="0.2">
      <c r="A401" s="5">
        <v>20</v>
      </c>
      <c r="B401" s="26" t="s">
        <v>52</v>
      </c>
      <c r="C401" s="11">
        <v>0.48799999999999999</v>
      </c>
    </row>
    <row r="402" spans="1:3" x14ac:dyDescent="0.2">
      <c r="A402" s="5">
        <v>30</v>
      </c>
      <c r="B402" s="26" t="s">
        <v>52</v>
      </c>
      <c r="C402" s="11">
        <v>0.51600000000000001</v>
      </c>
    </row>
    <row r="403" spans="1:3" x14ac:dyDescent="0.2">
      <c r="A403" s="5">
        <v>30</v>
      </c>
      <c r="B403" s="26" t="s">
        <v>52</v>
      </c>
      <c r="C403" s="11">
        <v>0.50600000000000001</v>
      </c>
    </row>
    <row r="404" spans="1:3" x14ac:dyDescent="0.2">
      <c r="A404" s="5">
        <v>30</v>
      </c>
      <c r="B404" s="26" t="s">
        <v>52</v>
      </c>
      <c r="C404" s="11">
        <v>0.52900000000000003</v>
      </c>
    </row>
    <row r="405" spans="1:3" x14ac:dyDescent="0.2">
      <c r="A405" s="5">
        <v>30</v>
      </c>
      <c r="B405" s="26" t="s">
        <v>52</v>
      </c>
      <c r="C405" s="11">
        <v>0.498</v>
      </c>
    </row>
    <row r="406" spans="1:3" x14ac:dyDescent="0.2">
      <c r="A406" s="5">
        <v>30</v>
      </c>
      <c r="B406" s="26" t="s">
        <v>52</v>
      </c>
      <c r="C406" s="11">
        <v>0.496</v>
      </c>
    </row>
    <row r="407" spans="1:3" x14ac:dyDescent="0.2">
      <c r="A407" s="5">
        <v>40</v>
      </c>
      <c r="B407" s="26" t="s">
        <v>52</v>
      </c>
      <c r="C407" s="11">
        <v>0.52400000000000002</v>
      </c>
    </row>
    <row r="408" spans="1:3" x14ac:dyDescent="0.2">
      <c r="A408" s="5">
        <v>40</v>
      </c>
      <c r="B408" s="26" t="s">
        <v>52</v>
      </c>
      <c r="C408" s="11">
        <v>0.51500000000000001</v>
      </c>
    </row>
    <row r="409" spans="1:3" x14ac:dyDescent="0.2">
      <c r="A409" s="5">
        <v>40</v>
      </c>
      <c r="B409" s="26" t="s">
        <v>52</v>
      </c>
      <c r="C409" s="11">
        <v>0.53600000000000003</v>
      </c>
    </row>
    <row r="410" spans="1:3" x14ac:dyDescent="0.2">
      <c r="A410" s="5">
        <v>40</v>
      </c>
      <c r="B410" s="26" t="s">
        <v>52</v>
      </c>
      <c r="C410" s="11">
        <v>0.504</v>
      </c>
    </row>
    <row r="411" spans="1:3" x14ac:dyDescent="0.2">
      <c r="A411" s="5">
        <v>40</v>
      </c>
      <c r="B411" s="26" t="s">
        <v>52</v>
      </c>
      <c r="C411" s="11">
        <v>0.505</v>
      </c>
    </row>
    <row r="412" spans="1:3" x14ac:dyDescent="0.2">
      <c r="A412" s="5">
        <v>50</v>
      </c>
      <c r="B412" s="26" t="s">
        <v>52</v>
      </c>
      <c r="C412" s="11">
        <v>0.52800000000000002</v>
      </c>
    </row>
    <row r="413" spans="1:3" x14ac:dyDescent="0.2">
      <c r="A413" s="5">
        <v>50</v>
      </c>
      <c r="B413" s="26" t="s">
        <v>52</v>
      </c>
      <c r="C413" s="11">
        <v>0.51400000000000001</v>
      </c>
    </row>
    <row r="414" spans="1:3" x14ac:dyDescent="0.2">
      <c r="A414" s="5">
        <v>50</v>
      </c>
      <c r="B414" s="26" t="s">
        <v>52</v>
      </c>
      <c r="C414" s="11">
        <v>0.53900000000000003</v>
      </c>
    </row>
    <row r="415" spans="1:3" x14ac:dyDescent="0.2">
      <c r="A415" s="5">
        <v>50</v>
      </c>
      <c r="B415" s="26" t="s">
        <v>52</v>
      </c>
      <c r="C415" s="11">
        <v>0.505</v>
      </c>
    </row>
    <row r="416" spans="1:3" x14ac:dyDescent="0.2">
      <c r="A416" s="5">
        <v>50</v>
      </c>
      <c r="B416" s="26" t="s">
        <v>52</v>
      </c>
      <c r="C416" s="11">
        <v>0.50600000000000001</v>
      </c>
    </row>
    <row r="417" spans="1:3" x14ac:dyDescent="0.2">
      <c r="A417" s="5">
        <v>60</v>
      </c>
      <c r="B417" s="26" t="s">
        <v>52</v>
      </c>
      <c r="C417" s="11">
        <v>0.53100000000000003</v>
      </c>
    </row>
    <row r="418" spans="1:3" x14ac:dyDescent="0.2">
      <c r="A418" s="5">
        <v>60</v>
      </c>
      <c r="B418" s="26" t="s">
        <v>52</v>
      </c>
      <c r="C418" s="11">
        <v>0.52</v>
      </c>
    </row>
    <row r="419" spans="1:3" x14ac:dyDescent="0.2">
      <c r="A419" s="5">
        <v>60</v>
      </c>
      <c r="B419" s="26" t="s">
        <v>52</v>
      </c>
      <c r="C419" s="11">
        <v>0.54200000000000004</v>
      </c>
    </row>
    <row r="420" spans="1:3" x14ac:dyDescent="0.2">
      <c r="A420" s="5">
        <v>60</v>
      </c>
      <c r="B420" s="26" t="s">
        <v>52</v>
      </c>
      <c r="C420" s="11">
        <v>0.50900000000000001</v>
      </c>
    </row>
    <row r="421" spans="1:3" x14ac:dyDescent="0.2">
      <c r="A421" s="5">
        <v>60</v>
      </c>
      <c r="B421" s="26" t="s">
        <v>52</v>
      </c>
      <c r="C421" s="11">
        <v>0.51300000000000001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1D78A-59F5-754B-92FA-07DC9469041F}">
  <dimension ref="A1:D421"/>
  <sheetViews>
    <sheetView tabSelected="1" workbookViewId="0">
      <selection activeCell="F12" sqref="F12"/>
    </sheetView>
  </sheetViews>
  <sheetFormatPr baseColWidth="10" defaultRowHeight="16" x14ac:dyDescent="0.2"/>
  <cols>
    <col min="2" max="2" width="23.6640625" customWidth="1"/>
  </cols>
  <sheetData>
    <row r="1" spans="1:4" x14ac:dyDescent="0.2">
      <c r="A1" s="25" t="s">
        <v>38</v>
      </c>
      <c r="B1" s="25" t="s">
        <v>39</v>
      </c>
      <c r="C1" s="25" t="s">
        <v>53</v>
      </c>
      <c r="D1" s="25" t="s">
        <v>54</v>
      </c>
    </row>
    <row r="2" spans="1:4" x14ac:dyDescent="0.2">
      <c r="A2" s="5">
        <v>0</v>
      </c>
      <c r="B2" s="26" t="s">
        <v>40</v>
      </c>
      <c r="C2" s="11">
        <v>0</v>
      </c>
      <c r="D2" s="10">
        <v>0</v>
      </c>
    </row>
    <row r="3" spans="1:4" x14ac:dyDescent="0.2">
      <c r="A3" s="5">
        <v>10</v>
      </c>
      <c r="B3" s="26" t="s">
        <v>40</v>
      </c>
      <c r="C3" s="11">
        <v>0.2944</v>
      </c>
      <c r="D3" s="10">
        <v>9.5627734622863361E-3</v>
      </c>
    </row>
    <row r="4" spans="1:4" x14ac:dyDescent="0.2">
      <c r="A4" s="5">
        <v>20</v>
      </c>
      <c r="B4" s="26" t="s">
        <v>40</v>
      </c>
      <c r="C4" s="11">
        <v>0.32500000000000001</v>
      </c>
      <c r="D4" s="10">
        <v>1.3590260363414099E-2</v>
      </c>
    </row>
    <row r="5" spans="1:4" x14ac:dyDescent="0.2">
      <c r="A5" s="5">
        <v>30</v>
      </c>
      <c r="B5" s="26" t="s">
        <v>40</v>
      </c>
      <c r="C5" s="11">
        <v>0.35649999999999998</v>
      </c>
      <c r="D5" s="10">
        <v>1.5740451787141351E-2</v>
      </c>
    </row>
    <row r="6" spans="1:4" x14ac:dyDescent="0.2">
      <c r="A6" s="5">
        <v>40</v>
      </c>
      <c r="B6" s="26" t="s">
        <v>40</v>
      </c>
      <c r="C6" s="11">
        <v>0.36670000000000003</v>
      </c>
      <c r="D6" s="10">
        <v>1.9533386971887765E-2</v>
      </c>
    </row>
    <row r="7" spans="1:4" x14ac:dyDescent="0.2">
      <c r="A7" s="5">
        <v>50</v>
      </c>
      <c r="B7" s="26" t="s">
        <v>40</v>
      </c>
      <c r="C7" s="11">
        <v>0.38850000000000001</v>
      </c>
      <c r="D7" s="10">
        <v>1.9989303345219721E-2</v>
      </c>
    </row>
    <row r="8" spans="1:4" x14ac:dyDescent="0.2">
      <c r="A8" s="5">
        <v>60</v>
      </c>
      <c r="B8" s="26" t="s">
        <v>40</v>
      </c>
      <c r="C8" s="11">
        <v>0.40500000000000003</v>
      </c>
      <c r="D8" s="10">
        <v>2.0903630297561517E-2</v>
      </c>
    </row>
    <row r="9" spans="1:4" x14ac:dyDescent="0.2">
      <c r="A9" s="5">
        <v>0</v>
      </c>
      <c r="B9" s="26" t="s">
        <v>41</v>
      </c>
      <c r="C9" s="10">
        <v>0</v>
      </c>
      <c r="D9" s="10">
        <v>0</v>
      </c>
    </row>
    <row r="10" spans="1:4" x14ac:dyDescent="0.2">
      <c r="A10" s="5">
        <v>10</v>
      </c>
      <c r="B10" s="26" t="s">
        <v>41</v>
      </c>
      <c r="C10" s="10">
        <v>0.4364713004960451</v>
      </c>
      <c r="D10" s="10">
        <v>0.12723213842582981</v>
      </c>
    </row>
    <row r="11" spans="1:4" x14ac:dyDescent="0.2">
      <c r="A11" s="5">
        <v>20</v>
      </c>
      <c r="B11" s="26" t="s">
        <v>41</v>
      </c>
      <c r="C11" s="10">
        <v>0.51531160069446025</v>
      </c>
      <c r="D11" s="10">
        <v>0.13136292466267202</v>
      </c>
    </row>
    <row r="12" spans="1:4" x14ac:dyDescent="0.2">
      <c r="A12" s="5">
        <v>30</v>
      </c>
      <c r="B12" s="26" t="s">
        <v>41</v>
      </c>
      <c r="C12" s="10">
        <v>0.53478420496033385</v>
      </c>
      <c r="D12" s="10">
        <v>0.134284860746891</v>
      </c>
    </row>
    <row r="13" spans="1:4" x14ac:dyDescent="0.2">
      <c r="A13" s="5">
        <v>40</v>
      </c>
      <c r="B13" s="26" t="s">
        <v>41</v>
      </c>
      <c r="C13" s="10">
        <v>0.57372941349208095</v>
      </c>
      <c r="D13" s="10">
        <v>0.12517170131277844</v>
      </c>
    </row>
    <row r="14" spans="1:4" x14ac:dyDescent="0.2">
      <c r="A14" s="5">
        <v>50</v>
      </c>
      <c r="B14" s="26" t="s">
        <v>41</v>
      </c>
      <c r="C14" s="10">
        <v>0.59462684246033559</v>
      </c>
      <c r="D14" s="10">
        <v>0.109941473521196</v>
      </c>
    </row>
    <row r="15" spans="1:4" x14ac:dyDescent="0.2">
      <c r="A15" s="5">
        <v>60</v>
      </c>
      <c r="B15" s="26" t="s">
        <v>41</v>
      </c>
      <c r="C15" s="10">
        <v>0.62169851180557445</v>
      </c>
      <c r="D15" s="10">
        <v>0.10419045694508391</v>
      </c>
    </row>
    <row r="16" spans="1:4" x14ac:dyDescent="0.2">
      <c r="A16" s="5">
        <v>0</v>
      </c>
      <c r="B16" s="26" t="s">
        <v>42</v>
      </c>
      <c r="C16" s="11">
        <v>0</v>
      </c>
      <c r="D16" s="10">
        <v>0</v>
      </c>
    </row>
    <row r="17" spans="1:4" x14ac:dyDescent="0.2">
      <c r="A17" s="5">
        <v>10</v>
      </c>
      <c r="B17" s="26" t="s">
        <v>42</v>
      </c>
      <c r="C17" s="11">
        <v>0.29260000000000003</v>
      </c>
      <c r="D17" s="10">
        <v>9.7806567434322901E-3</v>
      </c>
    </row>
    <row r="18" spans="1:4" x14ac:dyDescent="0.2">
      <c r="A18" s="5">
        <v>20</v>
      </c>
      <c r="B18" s="26" t="s">
        <v>42</v>
      </c>
      <c r="C18" s="11">
        <v>0.31119999999999998</v>
      </c>
      <c r="D18" s="10">
        <v>9.9438732493841893E-3</v>
      </c>
    </row>
    <row r="19" spans="1:4" x14ac:dyDescent="0.2">
      <c r="A19" s="5">
        <v>30</v>
      </c>
      <c r="B19" s="26" t="s">
        <v>42</v>
      </c>
      <c r="C19" s="11">
        <v>0.32740000000000002</v>
      </c>
      <c r="D19" s="10">
        <v>8.7900428216988822E-3</v>
      </c>
    </row>
    <row r="20" spans="1:4" x14ac:dyDescent="0.2">
      <c r="A20" s="5">
        <v>40</v>
      </c>
      <c r="B20" s="26" t="s">
        <v>42</v>
      </c>
      <c r="C20" s="11">
        <v>0.34549999999999997</v>
      </c>
      <c r="D20" s="10">
        <v>1.4623887128068565E-2</v>
      </c>
    </row>
    <row r="21" spans="1:4" x14ac:dyDescent="0.2">
      <c r="A21" s="5">
        <v>50</v>
      </c>
      <c r="B21" s="26" t="s">
        <v>42</v>
      </c>
      <c r="C21" s="11">
        <v>0.34749999999999998</v>
      </c>
      <c r="D21" s="10">
        <v>8.4974022258437216E-3</v>
      </c>
    </row>
    <row r="22" spans="1:4" x14ac:dyDescent="0.2">
      <c r="A22" s="5">
        <v>60</v>
      </c>
      <c r="B22" s="26" t="s">
        <v>42</v>
      </c>
      <c r="C22" s="11">
        <v>0.35680000000000001</v>
      </c>
      <c r="D22" s="10">
        <v>1.2651032514078193E-2</v>
      </c>
    </row>
    <row r="23" spans="1:4" x14ac:dyDescent="0.2">
      <c r="A23" s="5">
        <v>0</v>
      </c>
      <c r="B23" s="26" t="s">
        <v>43</v>
      </c>
      <c r="C23" s="10">
        <v>0</v>
      </c>
      <c r="D23" s="10">
        <v>0</v>
      </c>
    </row>
    <row r="24" spans="1:4" x14ac:dyDescent="0.2">
      <c r="A24" s="5">
        <v>10</v>
      </c>
      <c r="B24" s="26" t="s">
        <v>43</v>
      </c>
      <c r="C24" s="10">
        <v>0.29504435139069196</v>
      </c>
      <c r="D24" s="10">
        <v>1.2265025866744881E-2</v>
      </c>
    </row>
    <row r="25" spans="1:4" x14ac:dyDescent="0.2">
      <c r="A25" s="5">
        <v>20</v>
      </c>
      <c r="B25" s="26" t="s">
        <v>43</v>
      </c>
      <c r="C25" s="10">
        <v>0.31239990147249735</v>
      </c>
      <c r="D25" s="10">
        <v>1.5473952385165919E-2</v>
      </c>
    </row>
    <row r="26" spans="1:4" x14ac:dyDescent="0.2">
      <c r="A26" s="5">
        <v>30</v>
      </c>
      <c r="B26" s="26" t="s">
        <v>43</v>
      </c>
      <c r="C26" s="10">
        <v>0.3230060709669339</v>
      </c>
      <c r="D26" s="10">
        <v>1.7587435617507027E-2</v>
      </c>
    </row>
    <row r="27" spans="1:4" x14ac:dyDescent="0.2">
      <c r="A27" s="5">
        <v>40</v>
      </c>
      <c r="B27" s="26" t="s">
        <v>43</v>
      </c>
      <c r="C27" s="10">
        <v>0.33120174739445313</v>
      </c>
      <c r="D27" s="10">
        <v>2.0486414932924874E-2</v>
      </c>
    </row>
    <row r="28" spans="1:4" x14ac:dyDescent="0.2">
      <c r="A28" s="5">
        <v>50</v>
      </c>
      <c r="B28" s="26" t="s">
        <v>43</v>
      </c>
      <c r="C28" s="10">
        <v>0.34759310024949164</v>
      </c>
      <c r="D28" s="10">
        <v>2.2196470845322846E-2</v>
      </c>
    </row>
    <row r="29" spans="1:4" x14ac:dyDescent="0.2">
      <c r="A29" s="5">
        <v>60</v>
      </c>
      <c r="B29" s="26" t="s">
        <v>43</v>
      </c>
      <c r="C29" s="10">
        <v>0.35096779054317595</v>
      </c>
      <c r="D29" s="10">
        <v>2.195454023291064E-2</v>
      </c>
    </row>
    <row r="30" spans="1:4" x14ac:dyDescent="0.2">
      <c r="A30" s="5">
        <v>0</v>
      </c>
      <c r="B30" s="26" t="s">
        <v>55</v>
      </c>
      <c r="C30" s="10">
        <v>0</v>
      </c>
      <c r="D30" s="10">
        <v>0</v>
      </c>
    </row>
    <row r="31" spans="1:4" x14ac:dyDescent="0.2">
      <c r="A31" s="5">
        <v>10</v>
      </c>
      <c r="B31" s="26" t="s">
        <v>55</v>
      </c>
      <c r="C31" s="10">
        <v>0.26497392836152356</v>
      </c>
      <c r="D31" s="10">
        <v>7.3353113849861807E-3</v>
      </c>
    </row>
    <row r="32" spans="1:4" x14ac:dyDescent="0.2">
      <c r="A32" s="5">
        <v>20</v>
      </c>
      <c r="B32" s="26" t="s">
        <v>55</v>
      </c>
      <c r="C32" s="10">
        <v>0.28254126062858592</v>
      </c>
      <c r="D32" s="10">
        <v>8.461110697118376E-3</v>
      </c>
    </row>
    <row r="33" spans="1:4" x14ac:dyDescent="0.2">
      <c r="A33" s="5">
        <v>30</v>
      </c>
      <c r="B33" s="26" t="s">
        <v>55</v>
      </c>
      <c r="C33" s="10">
        <v>0.29181290821397998</v>
      </c>
      <c r="D33" s="10">
        <v>7.1782201313358371E-3</v>
      </c>
    </row>
    <row r="34" spans="1:4" x14ac:dyDescent="0.2">
      <c r="A34" s="5">
        <v>40</v>
      </c>
      <c r="B34" s="26" t="s">
        <v>55</v>
      </c>
      <c r="C34" s="10">
        <v>0.30791629612545385</v>
      </c>
      <c r="D34" s="10">
        <v>5.5273243739283415E-3</v>
      </c>
    </row>
    <row r="35" spans="1:4" x14ac:dyDescent="0.2">
      <c r="A35" s="5">
        <v>50</v>
      </c>
      <c r="B35" s="26" t="s">
        <v>55</v>
      </c>
      <c r="C35" s="10">
        <v>0.31279611064408219</v>
      </c>
      <c r="D35" s="10">
        <v>5.925471496531525E-3</v>
      </c>
    </row>
    <row r="36" spans="1:4" x14ac:dyDescent="0.2">
      <c r="A36" s="5">
        <v>60</v>
      </c>
      <c r="B36" s="26" t="s">
        <v>55</v>
      </c>
      <c r="C36" s="10">
        <v>0.31084418483663079</v>
      </c>
      <c r="D36" s="10">
        <v>6.8532435045261355E-3</v>
      </c>
    </row>
    <row r="37" spans="1:4" x14ac:dyDescent="0.2">
      <c r="A37" s="5">
        <v>0</v>
      </c>
      <c r="B37" s="26" t="s">
        <v>44</v>
      </c>
      <c r="C37" s="10">
        <v>0</v>
      </c>
      <c r="D37" s="10">
        <v>0</v>
      </c>
    </row>
    <row r="38" spans="1:4" x14ac:dyDescent="0.2">
      <c r="A38" s="5">
        <v>10</v>
      </c>
      <c r="B38" s="26" t="s">
        <v>44</v>
      </c>
      <c r="C38" s="10">
        <v>0.26756998968543388</v>
      </c>
      <c r="D38" s="10">
        <v>1.1771936706442653E-2</v>
      </c>
    </row>
    <row r="39" spans="1:4" x14ac:dyDescent="0.2">
      <c r="A39" s="5">
        <v>20</v>
      </c>
      <c r="B39" s="26" t="s">
        <v>44</v>
      </c>
      <c r="C39" s="10">
        <v>0.28647439113060041</v>
      </c>
      <c r="D39" s="10">
        <v>1.5543889598050321E-2</v>
      </c>
    </row>
    <row r="40" spans="1:4" x14ac:dyDescent="0.2">
      <c r="A40" s="5">
        <v>30</v>
      </c>
      <c r="B40" s="26" t="s">
        <v>44</v>
      </c>
      <c r="C40" s="10">
        <v>0.29132167355243793</v>
      </c>
      <c r="D40" s="10">
        <v>1.8085885022230175E-2</v>
      </c>
    </row>
    <row r="41" spans="1:4" x14ac:dyDescent="0.2">
      <c r="A41" s="5">
        <v>40</v>
      </c>
      <c r="B41" s="26" t="s">
        <v>44</v>
      </c>
      <c r="C41" s="10">
        <v>0.30101623839611308</v>
      </c>
      <c r="D41" s="10">
        <v>1.8637223368858143E-2</v>
      </c>
    </row>
    <row r="42" spans="1:4" x14ac:dyDescent="0.2">
      <c r="A42" s="5">
        <v>50</v>
      </c>
      <c r="B42" s="26" t="s">
        <v>44</v>
      </c>
      <c r="C42" s="10">
        <v>0.31071080323978822</v>
      </c>
      <c r="D42" s="10">
        <v>1.6661540079348138E-2</v>
      </c>
    </row>
    <row r="43" spans="1:4" x14ac:dyDescent="0.2">
      <c r="A43" s="5">
        <v>60</v>
      </c>
      <c r="B43" s="26" t="s">
        <v>44</v>
      </c>
      <c r="C43" s="10">
        <v>0.31168025972415586</v>
      </c>
      <c r="D43" s="10">
        <v>1.86492902029931E-2</v>
      </c>
    </row>
    <row r="44" spans="1:4" x14ac:dyDescent="0.2">
      <c r="A44" s="5">
        <v>0</v>
      </c>
      <c r="B44" s="26" t="s">
        <v>45</v>
      </c>
      <c r="C44" s="10">
        <v>0</v>
      </c>
      <c r="D44" s="10">
        <v>0</v>
      </c>
    </row>
    <row r="45" spans="1:4" x14ac:dyDescent="0.2">
      <c r="A45" s="5">
        <v>10</v>
      </c>
      <c r="B45" s="26" t="s">
        <v>45</v>
      </c>
      <c r="C45" s="10">
        <v>0.26322584290738199</v>
      </c>
      <c r="D45" s="10">
        <v>1.005131877908739E-2</v>
      </c>
    </row>
    <row r="46" spans="1:4" x14ac:dyDescent="0.2">
      <c r="A46" s="5">
        <v>20</v>
      </c>
      <c r="B46" s="26" t="s">
        <v>45</v>
      </c>
      <c r="C46" s="10">
        <v>0.28009929437580394</v>
      </c>
      <c r="D46" s="10">
        <v>7.8085501145171996E-3</v>
      </c>
    </row>
    <row r="47" spans="1:4" x14ac:dyDescent="0.2">
      <c r="A47" s="5">
        <v>30</v>
      </c>
      <c r="B47" s="26" t="s">
        <v>45</v>
      </c>
      <c r="C47" s="10">
        <v>0.29166966109700754</v>
      </c>
      <c r="D47" s="10">
        <v>3.3356472930014302E-3</v>
      </c>
    </row>
    <row r="48" spans="1:4" x14ac:dyDescent="0.2">
      <c r="A48" s="5">
        <v>40</v>
      </c>
      <c r="B48" s="26" t="s">
        <v>45</v>
      </c>
      <c r="C48" s="10">
        <v>0.2960085486174589</v>
      </c>
      <c r="D48" s="10">
        <v>6.9008407788440718E-3</v>
      </c>
    </row>
    <row r="49" spans="1:4" x14ac:dyDescent="0.2">
      <c r="A49" s="5">
        <v>50</v>
      </c>
      <c r="B49" s="26" t="s">
        <v>45</v>
      </c>
      <c r="C49" s="10">
        <v>0.3008295347512937</v>
      </c>
      <c r="D49" s="10">
        <v>9.3636081594044348E-3</v>
      </c>
    </row>
    <row r="50" spans="1:4" x14ac:dyDescent="0.2">
      <c r="A50" s="5">
        <v>60</v>
      </c>
      <c r="B50" s="26" t="s">
        <v>45</v>
      </c>
      <c r="C50" s="10">
        <v>0.30275792920482769</v>
      </c>
      <c r="D50" s="10">
        <v>7.8369966572315822E-3</v>
      </c>
    </row>
    <row r="51" spans="1:4" x14ac:dyDescent="0.2">
      <c r="A51" s="5">
        <v>0</v>
      </c>
      <c r="B51" s="26" t="s">
        <v>46</v>
      </c>
      <c r="C51" s="10">
        <v>0</v>
      </c>
      <c r="D51" s="10">
        <v>0</v>
      </c>
    </row>
    <row r="52" spans="1:4" x14ac:dyDescent="0.2">
      <c r="A52" s="5">
        <v>10</v>
      </c>
      <c r="B52" s="26" t="s">
        <v>46</v>
      </c>
      <c r="C52" s="10">
        <v>0.22274759513889572</v>
      </c>
      <c r="D52" s="10">
        <v>1.2845354630746006E-2</v>
      </c>
    </row>
    <row r="53" spans="1:4" x14ac:dyDescent="0.2">
      <c r="A53" s="5">
        <v>20</v>
      </c>
      <c r="B53" s="26" t="s">
        <v>46</v>
      </c>
      <c r="C53" s="10">
        <v>0.28591482361111992</v>
      </c>
      <c r="D53" s="10">
        <v>1.4293710689389647E-2</v>
      </c>
    </row>
    <row r="54" spans="1:4" x14ac:dyDescent="0.2">
      <c r="A54" s="5">
        <v>30</v>
      </c>
      <c r="B54" s="26" t="s">
        <v>46</v>
      </c>
      <c r="C54" s="10">
        <v>0.28543988204365961</v>
      </c>
      <c r="D54" s="10">
        <v>2.1417889596185888E-2</v>
      </c>
    </row>
    <row r="55" spans="1:4" x14ac:dyDescent="0.2">
      <c r="A55" s="5">
        <v>40</v>
      </c>
      <c r="B55" s="26" t="s">
        <v>46</v>
      </c>
      <c r="C55" s="10">
        <v>0.29541365496032651</v>
      </c>
      <c r="D55" s="10">
        <v>2.6801588923239916E-2</v>
      </c>
    </row>
    <row r="56" spans="1:4" x14ac:dyDescent="0.2">
      <c r="A56" s="5">
        <v>50</v>
      </c>
      <c r="B56" s="26" t="s">
        <v>46</v>
      </c>
      <c r="C56" s="10">
        <v>0.30301272003969187</v>
      </c>
      <c r="D56" s="10">
        <v>3.0139361912708013E-2</v>
      </c>
    </row>
    <row r="57" spans="1:4" x14ac:dyDescent="0.2">
      <c r="A57" s="5">
        <v>60</v>
      </c>
      <c r="B57" s="26" t="s">
        <v>46</v>
      </c>
      <c r="C57" s="10">
        <v>0.30918696041667609</v>
      </c>
      <c r="D57" s="10">
        <v>2.9880279496428856E-2</v>
      </c>
    </row>
    <row r="58" spans="1:4" x14ac:dyDescent="0.2">
      <c r="A58" s="5">
        <v>0</v>
      </c>
      <c r="B58" s="26" t="s">
        <v>47</v>
      </c>
      <c r="C58" s="10">
        <v>0</v>
      </c>
      <c r="D58" s="10">
        <v>0</v>
      </c>
    </row>
    <row r="59" spans="1:4" x14ac:dyDescent="0.2">
      <c r="A59" s="5">
        <v>10</v>
      </c>
      <c r="B59" s="26" t="s">
        <v>47</v>
      </c>
      <c r="C59" s="10">
        <v>0.21305799464995823</v>
      </c>
      <c r="D59" s="10">
        <v>7.6065963088521463E-3</v>
      </c>
    </row>
    <row r="60" spans="1:4" x14ac:dyDescent="0.2">
      <c r="A60" s="5">
        <v>20</v>
      </c>
      <c r="B60" s="26" t="s">
        <v>47</v>
      </c>
      <c r="C60" s="10">
        <v>0.25404901822914489</v>
      </c>
      <c r="D60" s="11">
        <v>1.5083960702534734E-2</v>
      </c>
    </row>
    <row r="61" spans="1:4" x14ac:dyDescent="0.2">
      <c r="A61" s="5">
        <v>30</v>
      </c>
      <c r="B61" s="26" t="s">
        <v>47</v>
      </c>
      <c r="C61" s="10">
        <v>0.27263797078249691</v>
      </c>
      <c r="D61" s="11">
        <v>1.2479755049677079E-2</v>
      </c>
    </row>
    <row r="62" spans="1:4" x14ac:dyDescent="0.2">
      <c r="A62" s="5">
        <v>40</v>
      </c>
      <c r="B62" s="26" t="s">
        <v>47</v>
      </c>
      <c r="C62" s="10">
        <v>0.28693716505430628</v>
      </c>
      <c r="D62" s="11">
        <v>7.8873763989627619E-3</v>
      </c>
    </row>
    <row r="63" spans="1:4" x14ac:dyDescent="0.2">
      <c r="A63" s="5">
        <v>50</v>
      </c>
      <c r="B63" s="26" t="s">
        <v>47</v>
      </c>
      <c r="C63" s="10">
        <v>0.28646052524524601</v>
      </c>
      <c r="D63" s="11">
        <v>8.7750819505777733E-3</v>
      </c>
    </row>
    <row r="64" spans="1:4" x14ac:dyDescent="0.2">
      <c r="A64" s="5">
        <v>60</v>
      </c>
      <c r="B64" s="26" t="s">
        <v>47</v>
      </c>
      <c r="C64" s="10">
        <v>0.29122692333584904</v>
      </c>
      <c r="D64" s="11">
        <v>9.0195599833044204E-3</v>
      </c>
    </row>
    <row r="65" spans="1:4" x14ac:dyDescent="0.2">
      <c r="A65" s="5">
        <v>0</v>
      </c>
      <c r="B65" s="26" t="s">
        <v>48</v>
      </c>
      <c r="C65" s="10">
        <v>0</v>
      </c>
      <c r="D65" s="11">
        <v>0</v>
      </c>
    </row>
    <row r="66" spans="1:4" x14ac:dyDescent="0.2">
      <c r="A66" s="5">
        <v>10</v>
      </c>
      <c r="B66" s="26" t="s">
        <v>48</v>
      </c>
      <c r="C66" s="10">
        <v>0.18855657823047495</v>
      </c>
      <c r="D66" s="11">
        <v>5.0986820404856012E-3</v>
      </c>
    </row>
    <row r="67" spans="1:4" x14ac:dyDescent="0.2">
      <c r="A67" s="5">
        <v>20</v>
      </c>
      <c r="B67" s="26" t="s">
        <v>48</v>
      </c>
      <c r="C67" s="10">
        <v>0.2238550845816776</v>
      </c>
      <c r="D67" s="11">
        <v>1.151776493383903E-2</v>
      </c>
    </row>
    <row r="68" spans="1:4" x14ac:dyDescent="0.2">
      <c r="A68" s="5">
        <v>30</v>
      </c>
      <c r="B68" s="26" t="s">
        <v>48</v>
      </c>
      <c r="C68" s="10">
        <v>0.22698280033431581</v>
      </c>
      <c r="D68" s="11">
        <v>1.6393856749615025E-2</v>
      </c>
    </row>
    <row r="69" spans="1:4" x14ac:dyDescent="0.2">
      <c r="A69" s="5">
        <v>40</v>
      </c>
      <c r="B69" s="26" t="s">
        <v>48</v>
      </c>
      <c r="C69" s="10">
        <v>0.23100414915913636</v>
      </c>
      <c r="D69" s="11">
        <v>6.7165225474816962E-3</v>
      </c>
    </row>
    <row r="70" spans="1:4" x14ac:dyDescent="0.2">
      <c r="A70" s="5">
        <v>50</v>
      </c>
      <c r="B70" s="26" t="s">
        <v>48</v>
      </c>
      <c r="C70" s="10">
        <v>0.23189778223131868</v>
      </c>
      <c r="D70" s="11">
        <v>1.2396997108579062E-2</v>
      </c>
    </row>
    <row r="71" spans="1:4" x14ac:dyDescent="0.2">
      <c r="A71" s="5">
        <v>60</v>
      </c>
      <c r="B71" s="26" t="s">
        <v>48</v>
      </c>
      <c r="C71" s="10">
        <v>0.23457868144786573</v>
      </c>
      <c r="D71" s="11">
        <v>9.3770750381959502E-3</v>
      </c>
    </row>
    <row r="72" spans="1:4" x14ac:dyDescent="0.2">
      <c r="A72" s="5">
        <v>0</v>
      </c>
      <c r="B72" s="26" t="s">
        <v>49</v>
      </c>
      <c r="C72" s="10">
        <v>0</v>
      </c>
      <c r="D72" s="11">
        <v>0</v>
      </c>
    </row>
    <row r="73" spans="1:4" x14ac:dyDescent="0.2">
      <c r="A73" s="5">
        <v>10</v>
      </c>
      <c r="B73" s="26" t="s">
        <v>49</v>
      </c>
      <c r="C73" s="10">
        <v>0.13836403442827419</v>
      </c>
      <c r="D73" s="11">
        <v>5.7661530307589123E-3</v>
      </c>
    </row>
    <row r="74" spans="1:4" x14ac:dyDescent="0.2">
      <c r="A74" s="5">
        <v>20</v>
      </c>
      <c r="B74" s="26" t="s">
        <v>49</v>
      </c>
      <c r="C74" s="10">
        <v>0.21103594568585438</v>
      </c>
      <c r="D74" s="11">
        <v>1.1104505748550418E-2</v>
      </c>
    </row>
    <row r="75" spans="1:4" x14ac:dyDescent="0.2">
      <c r="A75" s="5">
        <v>30</v>
      </c>
      <c r="B75" s="26" t="s">
        <v>49</v>
      </c>
      <c r="C75" s="10">
        <v>0.23731279495413199</v>
      </c>
      <c r="D75" s="11">
        <v>9.2139409800817244E-3</v>
      </c>
    </row>
    <row r="76" spans="1:4" x14ac:dyDescent="0.2">
      <c r="A76" s="5">
        <v>40</v>
      </c>
      <c r="B76" s="26" t="s">
        <v>49</v>
      </c>
      <c r="C76" s="10">
        <v>0.24470315881083501</v>
      </c>
      <c r="D76" s="11">
        <v>6.0127972963679201E-3</v>
      </c>
    </row>
    <row r="77" spans="1:4" x14ac:dyDescent="0.2">
      <c r="A77" s="5">
        <v>50</v>
      </c>
      <c r="B77" s="26" t="s">
        <v>49</v>
      </c>
      <c r="C77" s="10">
        <v>0.25086179535808761</v>
      </c>
      <c r="D77" s="11">
        <v>7.3421928480699675E-3</v>
      </c>
    </row>
    <row r="78" spans="1:4" x14ac:dyDescent="0.2">
      <c r="A78" s="5">
        <v>60</v>
      </c>
      <c r="B78" s="26" t="s">
        <v>49</v>
      </c>
      <c r="C78" s="10">
        <v>0.25250409843735494</v>
      </c>
      <c r="D78" s="11">
        <v>4.2135572253192803E-3</v>
      </c>
    </row>
    <row r="79" spans="1:4" x14ac:dyDescent="0.2">
      <c r="A79" s="5">
        <v>0</v>
      </c>
      <c r="B79" s="26" t="s">
        <v>52</v>
      </c>
      <c r="C79" s="10">
        <v>0</v>
      </c>
      <c r="D79" s="11">
        <v>0</v>
      </c>
    </row>
    <row r="80" spans="1:4" x14ac:dyDescent="0.2">
      <c r="A80" s="5">
        <v>10</v>
      </c>
      <c r="B80" s="26" t="s">
        <v>52</v>
      </c>
      <c r="C80" s="10">
        <v>0.13323378267704167</v>
      </c>
      <c r="D80" s="11">
        <v>1.8531223133912804E-2</v>
      </c>
    </row>
    <row r="81" spans="1:4" x14ac:dyDescent="0.2">
      <c r="A81" s="5">
        <v>20</v>
      </c>
      <c r="B81" s="26" t="s">
        <v>52</v>
      </c>
      <c r="C81" s="10">
        <v>0.19386712090132405</v>
      </c>
      <c r="D81" s="11">
        <v>1.9256946174855408E-2</v>
      </c>
    </row>
    <row r="82" spans="1:4" x14ac:dyDescent="0.2">
      <c r="A82" s="5">
        <v>30</v>
      </c>
      <c r="B82" s="26" t="s">
        <v>52</v>
      </c>
      <c r="C82" s="10">
        <v>0.21540791211258231</v>
      </c>
      <c r="D82" s="11">
        <v>1.687904740208173E-2</v>
      </c>
    </row>
    <row r="83" spans="1:4" x14ac:dyDescent="0.2">
      <c r="A83" s="5">
        <v>40</v>
      </c>
      <c r="B83" s="26" t="s">
        <v>52</v>
      </c>
      <c r="C83" s="10">
        <v>0.2309651502096022</v>
      </c>
      <c r="D83" s="11">
        <v>1.7646865486710461E-2</v>
      </c>
    </row>
    <row r="84" spans="1:4" x14ac:dyDescent="0.2">
      <c r="A84" s="5">
        <v>50</v>
      </c>
      <c r="B84" s="26" t="s">
        <v>52</v>
      </c>
      <c r="C84" s="10">
        <v>0.23415637853719601</v>
      </c>
      <c r="D84" s="11">
        <v>1.8905629100599442E-2</v>
      </c>
    </row>
    <row r="85" spans="1:4" x14ac:dyDescent="0.2">
      <c r="A85" s="5">
        <v>60</v>
      </c>
      <c r="B85" s="26" t="s">
        <v>52</v>
      </c>
      <c r="C85" s="10">
        <v>0.24333115997902818</v>
      </c>
      <c r="D85" s="11">
        <v>1.775874627156249E-2</v>
      </c>
    </row>
    <row r="86" spans="1:4" x14ac:dyDescent="0.2">
      <c r="A86" s="5"/>
      <c r="B86" s="26"/>
    </row>
    <row r="87" spans="1:4" x14ac:dyDescent="0.2">
      <c r="A87" s="5"/>
      <c r="B87" s="26"/>
    </row>
    <row r="88" spans="1:4" x14ac:dyDescent="0.2">
      <c r="A88" s="5"/>
      <c r="B88" s="26"/>
    </row>
    <row r="89" spans="1:4" x14ac:dyDescent="0.2">
      <c r="A89" s="5"/>
      <c r="B89" s="26"/>
    </row>
    <row r="90" spans="1:4" x14ac:dyDescent="0.2">
      <c r="A90" s="5"/>
      <c r="B90" s="26"/>
    </row>
    <row r="91" spans="1:4" x14ac:dyDescent="0.2">
      <c r="A91" s="5"/>
      <c r="B91" s="26"/>
    </row>
    <row r="92" spans="1:4" x14ac:dyDescent="0.2">
      <c r="A92" s="5"/>
      <c r="B92" s="26"/>
    </row>
    <row r="93" spans="1:4" x14ac:dyDescent="0.2">
      <c r="A93" s="5"/>
      <c r="B93" s="26"/>
    </row>
    <row r="94" spans="1:4" x14ac:dyDescent="0.2">
      <c r="A94" s="5"/>
      <c r="B94" s="26"/>
    </row>
    <row r="95" spans="1:4" x14ac:dyDescent="0.2">
      <c r="A95" s="5"/>
      <c r="B95" s="26"/>
    </row>
    <row r="96" spans="1:4" x14ac:dyDescent="0.2">
      <c r="A96" s="5"/>
      <c r="B96" s="26"/>
    </row>
    <row r="97" spans="1:3" x14ac:dyDescent="0.2">
      <c r="A97" s="5"/>
      <c r="B97" s="26"/>
    </row>
    <row r="98" spans="1:3" x14ac:dyDescent="0.2">
      <c r="A98" s="5"/>
      <c r="B98" s="26"/>
      <c r="C98" s="11"/>
    </row>
    <row r="99" spans="1:3" x14ac:dyDescent="0.2">
      <c r="A99" s="5"/>
      <c r="B99" s="26"/>
      <c r="C99" s="11"/>
    </row>
    <row r="100" spans="1:3" x14ac:dyDescent="0.2">
      <c r="A100" s="5"/>
      <c r="B100" s="26"/>
      <c r="C100" s="11"/>
    </row>
    <row r="101" spans="1:3" x14ac:dyDescent="0.2">
      <c r="A101" s="5"/>
      <c r="B101" s="26"/>
      <c r="C101" s="11"/>
    </row>
    <row r="102" spans="1:3" x14ac:dyDescent="0.2">
      <c r="A102" s="5"/>
      <c r="B102" s="26"/>
      <c r="C102" s="11"/>
    </row>
    <row r="103" spans="1:3" x14ac:dyDescent="0.2">
      <c r="A103" s="5"/>
      <c r="B103" s="26"/>
      <c r="C103" s="11"/>
    </row>
    <row r="104" spans="1:3" x14ac:dyDescent="0.2">
      <c r="A104" s="5"/>
      <c r="B104" s="26"/>
      <c r="C104" s="11"/>
    </row>
    <row r="105" spans="1:3" x14ac:dyDescent="0.2">
      <c r="A105" s="5"/>
      <c r="B105" s="26"/>
      <c r="C105" s="11"/>
    </row>
    <row r="106" spans="1:3" x14ac:dyDescent="0.2">
      <c r="A106" s="5"/>
      <c r="B106" s="26"/>
      <c r="C106" s="11"/>
    </row>
    <row r="107" spans="1:3" x14ac:dyDescent="0.2">
      <c r="A107" s="4"/>
      <c r="B107" s="26"/>
      <c r="C107" s="11"/>
    </row>
    <row r="108" spans="1:3" x14ac:dyDescent="0.2">
      <c r="A108" s="4"/>
      <c r="B108" s="26"/>
      <c r="C108" s="11"/>
    </row>
    <row r="109" spans="1:3" x14ac:dyDescent="0.2">
      <c r="A109" s="4"/>
      <c r="B109" s="26"/>
      <c r="C109" s="11"/>
    </row>
    <row r="110" spans="1:3" x14ac:dyDescent="0.2">
      <c r="A110" s="4"/>
      <c r="B110" s="26"/>
      <c r="C110" s="11"/>
    </row>
    <row r="111" spans="1:3" x14ac:dyDescent="0.2">
      <c r="A111" s="4"/>
      <c r="B111" s="26"/>
      <c r="C111" s="11"/>
    </row>
    <row r="112" spans="1:3" x14ac:dyDescent="0.2">
      <c r="A112" s="5"/>
      <c r="B112" s="26"/>
      <c r="C112" s="11"/>
    </row>
    <row r="113" spans="1:3" x14ac:dyDescent="0.2">
      <c r="A113" s="5"/>
      <c r="B113" s="26"/>
      <c r="C113" s="11"/>
    </row>
    <row r="114" spans="1:3" x14ac:dyDescent="0.2">
      <c r="A114" s="5"/>
      <c r="B114" s="26"/>
      <c r="C114" s="11"/>
    </row>
    <row r="115" spans="1:3" x14ac:dyDescent="0.2">
      <c r="A115" s="5"/>
      <c r="B115" s="26"/>
      <c r="C115" s="11"/>
    </row>
    <row r="116" spans="1:3" x14ac:dyDescent="0.2">
      <c r="A116" s="5"/>
      <c r="B116" s="26"/>
      <c r="C116" s="11"/>
    </row>
    <row r="117" spans="1:3" x14ac:dyDescent="0.2">
      <c r="A117" s="5"/>
      <c r="B117" s="26"/>
      <c r="C117" s="11"/>
    </row>
    <row r="118" spans="1:3" x14ac:dyDescent="0.2">
      <c r="A118" s="5"/>
      <c r="B118" s="26"/>
      <c r="C118" s="11"/>
    </row>
    <row r="119" spans="1:3" x14ac:dyDescent="0.2">
      <c r="A119" s="5"/>
      <c r="B119" s="26"/>
      <c r="C119" s="11"/>
    </row>
    <row r="120" spans="1:3" x14ac:dyDescent="0.2">
      <c r="A120" s="5"/>
      <c r="B120" s="26"/>
      <c r="C120" s="11"/>
    </row>
    <row r="121" spans="1:3" x14ac:dyDescent="0.2">
      <c r="A121" s="5"/>
      <c r="B121" s="26"/>
      <c r="C121" s="11"/>
    </row>
    <row r="122" spans="1:3" x14ac:dyDescent="0.2">
      <c r="A122" s="5"/>
      <c r="B122" s="26"/>
      <c r="C122" s="11"/>
    </row>
    <row r="123" spans="1:3" x14ac:dyDescent="0.2">
      <c r="A123" s="5"/>
      <c r="B123" s="26"/>
      <c r="C123" s="11"/>
    </row>
    <row r="124" spans="1:3" x14ac:dyDescent="0.2">
      <c r="A124" s="5"/>
      <c r="B124" s="26"/>
      <c r="C124" s="11"/>
    </row>
    <row r="125" spans="1:3" x14ac:dyDescent="0.2">
      <c r="A125" s="5"/>
      <c r="B125" s="26"/>
      <c r="C125" s="11"/>
    </row>
    <row r="126" spans="1:3" x14ac:dyDescent="0.2">
      <c r="A126" s="5"/>
      <c r="B126" s="26"/>
      <c r="C126" s="11"/>
    </row>
    <row r="127" spans="1:3" x14ac:dyDescent="0.2">
      <c r="A127" s="5"/>
      <c r="B127" s="26"/>
      <c r="C127" s="11"/>
    </row>
    <row r="128" spans="1:3" x14ac:dyDescent="0.2">
      <c r="A128" s="5"/>
      <c r="B128" s="26"/>
      <c r="C128" s="11"/>
    </row>
    <row r="129" spans="1:3" x14ac:dyDescent="0.2">
      <c r="A129" s="5"/>
      <c r="B129" s="26"/>
      <c r="C129" s="11"/>
    </row>
    <row r="130" spans="1:3" x14ac:dyDescent="0.2">
      <c r="A130" s="5"/>
      <c r="B130" s="26"/>
      <c r="C130" s="11"/>
    </row>
    <row r="131" spans="1:3" x14ac:dyDescent="0.2">
      <c r="A131" s="5"/>
      <c r="B131" s="26"/>
      <c r="C131" s="11"/>
    </row>
    <row r="132" spans="1:3" x14ac:dyDescent="0.2">
      <c r="A132" s="5"/>
      <c r="B132" s="26"/>
      <c r="C132" s="11"/>
    </row>
    <row r="133" spans="1:3" x14ac:dyDescent="0.2">
      <c r="A133" s="5"/>
      <c r="B133" s="26"/>
      <c r="C133" s="11"/>
    </row>
    <row r="134" spans="1:3" x14ac:dyDescent="0.2">
      <c r="A134" s="5"/>
      <c r="B134" s="26"/>
      <c r="C134" s="11"/>
    </row>
    <row r="135" spans="1:3" x14ac:dyDescent="0.2">
      <c r="A135" s="5"/>
      <c r="B135" s="26"/>
      <c r="C135" s="11"/>
    </row>
    <row r="136" spans="1:3" x14ac:dyDescent="0.2">
      <c r="A136" s="5"/>
      <c r="B136" s="26"/>
      <c r="C136" s="11"/>
    </row>
    <row r="137" spans="1:3" x14ac:dyDescent="0.2">
      <c r="A137" s="5"/>
      <c r="B137" s="26"/>
      <c r="C137" s="11"/>
    </row>
    <row r="138" spans="1:3" x14ac:dyDescent="0.2">
      <c r="A138" s="5"/>
      <c r="B138" s="26"/>
      <c r="C138" s="11"/>
    </row>
    <row r="139" spans="1:3" x14ac:dyDescent="0.2">
      <c r="A139" s="5"/>
      <c r="B139" s="26"/>
      <c r="C139" s="11"/>
    </row>
    <row r="140" spans="1:3" x14ac:dyDescent="0.2">
      <c r="A140" s="5"/>
      <c r="B140" s="26"/>
      <c r="C140" s="11"/>
    </row>
    <row r="141" spans="1:3" x14ac:dyDescent="0.2">
      <c r="A141" s="5"/>
      <c r="B141" s="26"/>
      <c r="C141" s="11"/>
    </row>
    <row r="142" spans="1:3" x14ac:dyDescent="0.2">
      <c r="A142" s="4"/>
      <c r="B142" s="26"/>
      <c r="C142" s="11"/>
    </row>
    <row r="143" spans="1:3" x14ac:dyDescent="0.2">
      <c r="A143" s="4"/>
      <c r="B143" s="26"/>
      <c r="C143" s="11"/>
    </row>
    <row r="144" spans="1:3" x14ac:dyDescent="0.2">
      <c r="A144" s="4"/>
      <c r="B144" s="26"/>
      <c r="C144" s="11"/>
    </row>
    <row r="145" spans="1:3" x14ac:dyDescent="0.2">
      <c r="A145" s="4"/>
      <c r="B145" s="26"/>
      <c r="C145" s="11"/>
    </row>
    <row r="146" spans="1:3" x14ac:dyDescent="0.2">
      <c r="A146" s="4"/>
      <c r="B146" s="26"/>
      <c r="C146" s="11"/>
    </row>
    <row r="147" spans="1:3" x14ac:dyDescent="0.2">
      <c r="A147" s="5"/>
      <c r="B147" s="26"/>
      <c r="C147" s="11"/>
    </row>
    <row r="148" spans="1:3" x14ac:dyDescent="0.2">
      <c r="A148" s="5"/>
      <c r="B148" s="26"/>
      <c r="C148" s="11"/>
    </row>
    <row r="149" spans="1:3" x14ac:dyDescent="0.2">
      <c r="A149" s="5"/>
      <c r="B149" s="26"/>
      <c r="C149" s="11"/>
    </row>
    <row r="150" spans="1:3" x14ac:dyDescent="0.2">
      <c r="A150" s="5"/>
      <c r="B150" s="26"/>
      <c r="C150" s="11"/>
    </row>
    <row r="151" spans="1:3" x14ac:dyDescent="0.2">
      <c r="A151" s="5"/>
      <c r="B151" s="26"/>
      <c r="C151" s="11"/>
    </row>
    <row r="152" spans="1:3" x14ac:dyDescent="0.2">
      <c r="A152" s="5"/>
      <c r="B152" s="26"/>
      <c r="C152" s="11"/>
    </row>
    <row r="153" spans="1:3" x14ac:dyDescent="0.2">
      <c r="A153" s="5"/>
      <c r="B153" s="26"/>
      <c r="C153" s="11"/>
    </row>
    <row r="154" spans="1:3" x14ac:dyDescent="0.2">
      <c r="A154" s="5"/>
      <c r="B154" s="26"/>
      <c r="C154" s="11"/>
    </row>
    <row r="155" spans="1:3" x14ac:dyDescent="0.2">
      <c r="A155" s="5"/>
      <c r="B155" s="26"/>
      <c r="C155" s="11"/>
    </row>
    <row r="156" spans="1:3" x14ac:dyDescent="0.2">
      <c r="A156" s="5"/>
      <c r="B156" s="26"/>
      <c r="C156" s="11"/>
    </row>
    <row r="157" spans="1:3" x14ac:dyDescent="0.2">
      <c r="A157" s="5"/>
      <c r="B157" s="26"/>
      <c r="C157" s="11"/>
    </row>
    <row r="158" spans="1:3" x14ac:dyDescent="0.2">
      <c r="A158" s="5"/>
      <c r="B158" s="26"/>
      <c r="C158" s="11"/>
    </row>
    <row r="159" spans="1:3" x14ac:dyDescent="0.2">
      <c r="A159" s="5"/>
      <c r="B159" s="26"/>
      <c r="C159" s="11"/>
    </row>
    <row r="160" spans="1:3" x14ac:dyDescent="0.2">
      <c r="A160" s="5"/>
      <c r="B160" s="26"/>
      <c r="C160" s="11"/>
    </row>
    <row r="161" spans="1:3" x14ac:dyDescent="0.2">
      <c r="A161" s="5"/>
      <c r="B161" s="26"/>
      <c r="C161" s="11"/>
    </row>
    <row r="162" spans="1:3" x14ac:dyDescent="0.2">
      <c r="A162" s="5"/>
      <c r="B162" s="26"/>
      <c r="C162" s="11"/>
    </row>
    <row r="163" spans="1:3" x14ac:dyDescent="0.2">
      <c r="A163" s="5"/>
      <c r="B163" s="26"/>
      <c r="C163" s="11"/>
    </row>
    <row r="164" spans="1:3" x14ac:dyDescent="0.2">
      <c r="A164" s="5"/>
      <c r="B164" s="26"/>
      <c r="C164" s="11"/>
    </row>
    <row r="165" spans="1:3" x14ac:dyDescent="0.2">
      <c r="A165" s="5"/>
      <c r="B165" s="26"/>
      <c r="C165" s="11"/>
    </row>
    <row r="166" spans="1:3" x14ac:dyDescent="0.2">
      <c r="A166" s="5"/>
      <c r="B166" s="26"/>
      <c r="C166" s="11"/>
    </row>
    <row r="167" spans="1:3" x14ac:dyDescent="0.2">
      <c r="A167" s="5"/>
      <c r="B167" s="26"/>
      <c r="C167" s="11"/>
    </row>
    <row r="168" spans="1:3" x14ac:dyDescent="0.2">
      <c r="A168" s="5"/>
      <c r="B168" s="26"/>
      <c r="C168" s="11"/>
    </row>
    <row r="169" spans="1:3" x14ac:dyDescent="0.2">
      <c r="A169" s="5"/>
      <c r="B169" s="26"/>
      <c r="C169" s="11"/>
    </row>
    <row r="170" spans="1:3" x14ac:dyDescent="0.2">
      <c r="A170" s="5"/>
      <c r="B170" s="26"/>
      <c r="C170" s="11"/>
    </row>
    <row r="171" spans="1:3" x14ac:dyDescent="0.2">
      <c r="A171" s="5"/>
      <c r="B171" s="26"/>
      <c r="C171" s="11"/>
    </row>
    <row r="172" spans="1:3" x14ac:dyDescent="0.2">
      <c r="A172" s="5"/>
      <c r="B172" s="26"/>
      <c r="C172" s="11"/>
    </row>
    <row r="173" spans="1:3" x14ac:dyDescent="0.2">
      <c r="A173" s="5"/>
      <c r="B173" s="26"/>
      <c r="C173" s="11"/>
    </row>
    <row r="174" spans="1:3" x14ac:dyDescent="0.2">
      <c r="A174" s="5"/>
      <c r="B174" s="26"/>
      <c r="C174" s="11"/>
    </row>
    <row r="175" spans="1:3" x14ac:dyDescent="0.2">
      <c r="A175" s="5"/>
      <c r="B175" s="26"/>
      <c r="C175" s="11"/>
    </row>
    <row r="176" spans="1:3" x14ac:dyDescent="0.2">
      <c r="A176" s="5"/>
      <c r="B176" s="26"/>
      <c r="C176" s="11"/>
    </row>
    <row r="177" spans="1:3" x14ac:dyDescent="0.2">
      <c r="A177" s="4"/>
      <c r="B177" s="26"/>
      <c r="C177" s="11"/>
    </row>
    <row r="178" spans="1:3" x14ac:dyDescent="0.2">
      <c r="A178" s="4"/>
      <c r="B178" s="26"/>
      <c r="C178" s="11"/>
    </row>
    <row r="179" spans="1:3" x14ac:dyDescent="0.2">
      <c r="A179" s="4"/>
      <c r="B179" s="26"/>
      <c r="C179" s="11"/>
    </row>
    <row r="180" spans="1:3" x14ac:dyDescent="0.2">
      <c r="A180" s="4"/>
      <c r="B180" s="26"/>
      <c r="C180" s="11"/>
    </row>
    <row r="181" spans="1:3" x14ac:dyDescent="0.2">
      <c r="A181" s="4"/>
      <c r="B181" s="26"/>
      <c r="C181" s="11"/>
    </row>
    <row r="182" spans="1:3" x14ac:dyDescent="0.2">
      <c r="A182" s="5"/>
      <c r="B182" s="26"/>
      <c r="C182" s="11"/>
    </row>
    <row r="183" spans="1:3" x14ac:dyDescent="0.2">
      <c r="A183" s="5"/>
      <c r="B183" s="26"/>
      <c r="C183" s="11"/>
    </row>
    <row r="184" spans="1:3" x14ac:dyDescent="0.2">
      <c r="A184" s="5"/>
      <c r="B184" s="26"/>
      <c r="C184" s="11"/>
    </row>
    <row r="185" spans="1:3" x14ac:dyDescent="0.2">
      <c r="A185" s="5"/>
      <c r="B185" s="26"/>
      <c r="C185" s="11"/>
    </row>
    <row r="186" spans="1:3" x14ac:dyDescent="0.2">
      <c r="A186" s="5"/>
      <c r="B186" s="26"/>
      <c r="C186" s="11"/>
    </row>
    <row r="187" spans="1:3" x14ac:dyDescent="0.2">
      <c r="A187" s="5"/>
      <c r="B187" s="26"/>
      <c r="C187" s="11"/>
    </row>
    <row r="188" spans="1:3" x14ac:dyDescent="0.2">
      <c r="A188" s="5"/>
      <c r="B188" s="26"/>
      <c r="C188" s="11"/>
    </row>
    <row r="189" spans="1:3" x14ac:dyDescent="0.2">
      <c r="A189" s="5"/>
      <c r="B189" s="26"/>
      <c r="C189" s="11"/>
    </row>
    <row r="190" spans="1:3" x14ac:dyDescent="0.2">
      <c r="A190" s="5"/>
      <c r="B190" s="26"/>
      <c r="C190" s="11"/>
    </row>
    <row r="191" spans="1:3" x14ac:dyDescent="0.2">
      <c r="A191" s="5"/>
      <c r="B191" s="26"/>
      <c r="C191" s="11"/>
    </row>
    <row r="192" spans="1:3" x14ac:dyDescent="0.2">
      <c r="A192" s="5"/>
      <c r="B192" s="26"/>
      <c r="C192" s="11"/>
    </row>
    <row r="193" spans="1:3" x14ac:dyDescent="0.2">
      <c r="A193" s="5"/>
      <c r="B193" s="26"/>
      <c r="C193" s="11"/>
    </row>
    <row r="194" spans="1:3" x14ac:dyDescent="0.2">
      <c r="A194" s="5"/>
      <c r="B194" s="26"/>
      <c r="C194" s="11"/>
    </row>
    <row r="195" spans="1:3" x14ac:dyDescent="0.2">
      <c r="A195" s="5"/>
      <c r="B195" s="26"/>
      <c r="C195" s="11"/>
    </row>
    <row r="196" spans="1:3" x14ac:dyDescent="0.2">
      <c r="A196" s="5"/>
      <c r="B196" s="26"/>
      <c r="C196" s="11"/>
    </row>
    <row r="197" spans="1:3" x14ac:dyDescent="0.2">
      <c r="A197" s="5"/>
      <c r="B197" s="26"/>
      <c r="C197" s="11"/>
    </row>
    <row r="198" spans="1:3" x14ac:dyDescent="0.2">
      <c r="A198" s="5"/>
      <c r="B198" s="26"/>
      <c r="C198" s="11"/>
    </row>
    <row r="199" spans="1:3" x14ac:dyDescent="0.2">
      <c r="A199" s="5"/>
      <c r="B199" s="26"/>
      <c r="C199" s="11"/>
    </row>
    <row r="200" spans="1:3" x14ac:dyDescent="0.2">
      <c r="A200" s="5"/>
      <c r="B200" s="26"/>
      <c r="C200" s="11"/>
    </row>
    <row r="201" spans="1:3" x14ac:dyDescent="0.2">
      <c r="A201" s="5"/>
      <c r="B201" s="26"/>
      <c r="C201" s="11"/>
    </row>
    <row r="202" spans="1:3" x14ac:dyDescent="0.2">
      <c r="A202" s="5"/>
      <c r="B202" s="26"/>
      <c r="C202" s="11"/>
    </row>
    <row r="203" spans="1:3" x14ac:dyDescent="0.2">
      <c r="A203" s="5"/>
      <c r="B203" s="26"/>
      <c r="C203" s="11"/>
    </row>
    <row r="204" spans="1:3" x14ac:dyDescent="0.2">
      <c r="A204" s="5"/>
      <c r="B204" s="26"/>
      <c r="C204" s="11"/>
    </row>
    <row r="205" spans="1:3" x14ac:dyDescent="0.2">
      <c r="A205" s="5"/>
      <c r="B205" s="26"/>
      <c r="C205" s="11"/>
    </row>
    <row r="206" spans="1:3" x14ac:dyDescent="0.2">
      <c r="A206" s="5"/>
      <c r="B206" s="26"/>
      <c r="C206" s="11"/>
    </row>
    <row r="207" spans="1:3" x14ac:dyDescent="0.2">
      <c r="A207" s="5"/>
      <c r="B207" s="26"/>
      <c r="C207" s="11"/>
    </row>
    <row r="208" spans="1:3" x14ac:dyDescent="0.2">
      <c r="A208" s="5"/>
      <c r="B208" s="26"/>
      <c r="C208" s="11"/>
    </row>
    <row r="209" spans="1:3" x14ac:dyDescent="0.2">
      <c r="A209" s="5"/>
      <c r="B209" s="26"/>
      <c r="C209" s="11"/>
    </row>
    <row r="210" spans="1:3" x14ac:dyDescent="0.2">
      <c r="A210" s="5"/>
      <c r="B210" s="26"/>
      <c r="C210" s="11"/>
    </row>
    <row r="211" spans="1:3" x14ac:dyDescent="0.2">
      <c r="A211" s="5"/>
      <c r="B211" s="26"/>
      <c r="C211" s="11"/>
    </row>
    <row r="212" spans="1:3" x14ac:dyDescent="0.2">
      <c r="A212" s="4"/>
      <c r="B212" s="26"/>
      <c r="C212" s="11"/>
    </row>
    <row r="213" spans="1:3" x14ac:dyDescent="0.2">
      <c r="A213" s="4"/>
      <c r="B213" s="26"/>
      <c r="C213" s="11"/>
    </row>
    <row r="214" spans="1:3" x14ac:dyDescent="0.2">
      <c r="A214" s="4"/>
      <c r="B214" s="26"/>
      <c r="C214" s="11"/>
    </row>
    <row r="215" spans="1:3" x14ac:dyDescent="0.2">
      <c r="A215" s="4"/>
      <c r="B215" s="26"/>
      <c r="C215" s="11"/>
    </row>
    <row r="216" spans="1:3" x14ac:dyDescent="0.2">
      <c r="A216" s="4"/>
      <c r="B216" s="26"/>
      <c r="C216" s="11"/>
    </row>
    <row r="217" spans="1:3" x14ac:dyDescent="0.2">
      <c r="A217" s="5"/>
      <c r="B217" s="26"/>
      <c r="C217" s="11"/>
    </row>
    <row r="218" spans="1:3" x14ac:dyDescent="0.2">
      <c r="A218" s="5"/>
      <c r="B218" s="26"/>
      <c r="C218" s="11"/>
    </row>
    <row r="219" spans="1:3" x14ac:dyDescent="0.2">
      <c r="A219" s="5"/>
      <c r="B219" s="26"/>
      <c r="C219" s="11"/>
    </row>
    <row r="220" spans="1:3" x14ac:dyDescent="0.2">
      <c r="A220" s="5"/>
      <c r="B220" s="26"/>
      <c r="C220" s="11"/>
    </row>
    <row r="221" spans="1:3" x14ac:dyDescent="0.2">
      <c r="A221" s="5"/>
      <c r="B221" s="26"/>
      <c r="C221" s="11"/>
    </row>
    <row r="222" spans="1:3" x14ac:dyDescent="0.2">
      <c r="A222" s="5"/>
      <c r="B222" s="26"/>
      <c r="C222" s="11"/>
    </row>
    <row r="223" spans="1:3" x14ac:dyDescent="0.2">
      <c r="A223" s="5"/>
      <c r="B223" s="26"/>
      <c r="C223" s="11"/>
    </row>
    <row r="224" spans="1:3" x14ac:dyDescent="0.2">
      <c r="A224" s="5"/>
      <c r="B224" s="26"/>
      <c r="C224" s="11"/>
    </row>
    <row r="225" spans="1:3" x14ac:dyDescent="0.2">
      <c r="A225" s="5"/>
      <c r="B225" s="26"/>
      <c r="C225" s="11"/>
    </row>
    <row r="226" spans="1:3" x14ac:dyDescent="0.2">
      <c r="A226" s="5"/>
      <c r="B226" s="26"/>
      <c r="C226" s="11"/>
    </row>
    <row r="227" spans="1:3" x14ac:dyDescent="0.2">
      <c r="A227" s="5"/>
      <c r="B227" s="26"/>
      <c r="C227" s="11"/>
    </row>
    <row r="228" spans="1:3" x14ac:dyDescent="0.2">
      <c r="A228" s="5"/>
      <c r="B228" s="26"/>
      <c r="C228" s="11"/>
    </row>
    <row r="229" spans="1:3" x14ac:dyDescent="0.2">
      <c r="A229" s="5"/>
      <c r="B229" s="26"/>
      <c r="C229" s="11"/>
    </row>
    <row r="230" spans="1:3" x14ac:dyDescent="0.2">
      <c r="A230" s="5"/>
      <c r="B230" s="26"/>
      <c r="C230" s="11"/>
    </row>
    <row r="231" spans="1:3" x14ac:dyDescent="0.2">
      <c r="A231" s="5"/>
      <c r="B231" s="26"/>
      <c r="C231" s="11"/>
    </row>
    <row r="232" spans="1:3" x14ac:dyDescent="0.2">
      <c r="A232" s="5"/>
      <c r="B232" s="26"/>
      <c r="C232" s="11"/>
    </row>
    <row r="233" spans="1:3" x14ac:dyDescent="0.2">
      <c r="A233" s="5"/>
      <c r="B233" s="26"/>
      <c r="C233" s="11"/>
    </row>
    <row r="234" spans="1:3" x14ac:dyDescent="0.2">
      <c r="A234" s="5"/>
      <c r="B234" s="26"/>
      <c r="C234" s="11"/>
    </row>
    <row r="235" spans="1:3" x14ac:dyDescent="0.2">
      <c r="A235" s="5"/>
      <c r="B235" s="26"/>
      <c r="C235" s="11"/>
    </row>
    <row r="236" spans="1:3" x14ac:dyDescent="0.2">
      <c r="A236" s="5"/>
      <c r="B236" s="26"/>
      <c r="C236" s="11"/>
    </row>
    <row r="237" spans="1:3" x14ac:dyDescent="0.2">
      <c r="A237" s="5"/>
      <c r="B237" s="26"/>
      <c r="C237" s="11"/>
    </row>
    <row r="238" spans="1:3" x14ac:dyDescent="0.2">
      <c r="A238" s="5"/>
      <c r="B238" s="26"/>
      <c r="C238" s="11"/>
    </row>
    <row r="239" spans="1:3" x14ac:dyDescent="0.2">
      <c r="A239" s="5"/>
      <c r="B239" s="26"/>
      <c r="C239" s="11"/>
    </row>
    <row r="240" spans="1:3" x14ac:dyDescent="0.2">
      <c r="A240" s="5"/>
      <c r="B240" s="26"/>
      <c r="C240" s="11"/>
    </row>
    <row r="241" spans="1:3" x14ac:dyDescent="0.2">
      <c r="A241" s="5"/>
      <c r="B241" s="26"/>
      <c r="C241" s="11"/>
    </row>
    <row r="242" spans="1:3" x14ac:dyDescent="0.2">
      <c r="A242" s="5"/>
      <c r="B242" s="26"/>
      <c r="C242" s="11"/>
    </row>
    <row r="243" spans="1:3" x14ac:dyDescent="0.2">
      <c r="A243" s="5"/>
      <c r="B243" s="26"/>
      <c r="C243" s="11"/>
    </row>
    <row r="244" spans="1:3" x14ac:dyDescent="0.2">
      <c r="A244" s="5"/>
      <c r="B244" s="26"/>
      <c r="C244" s="11"/>
    </row>
    <row r="245" spans="1:3" x14ac:dyDescent="0.2">
      <c r="A245" s="5"/>
      <c r="B245" s="26"/>
      <c r="C245" s="11"/>
    </row>
    <row r="246" spans="1:3" x14ac:dyDescent="0.2">
      <c r="A246" s="5"/>
      <c r="B246" s="26"/>
      <c r="C246" s="11"/>
    </row>
    <row r="247" spans="1:3" x14ac:dyDescent="0.2">
      <c r="A247" s="4"/>
      <c r="B247" s="26"/>
      <c r="C247" s="11"/>
    </row>
    <row r="248" spans="1:3" x14ac:dyDescent="0.2">
      <c r="A248" s="4"/>
      <c r="B248" s="26"/>
      <c r="C248" s="11"/>
    </row>
    <row r="249" spans="1:3" x14ac:dyDescent="0.2">
      <c r="A249" s="4"/>
      <c r="B249" s="26"/>
      <c r="C249" s="11"/>
    </row>
    <row r="250" spans="1:3" x14ac:dyDescent="0.2">
      <c r="A250" s="4"/>
      <c r="B250" s="26"/>
      <c r="C250" s="11"/>
    </row>
    <row r="251" spans="1:3" x14ac:dyDescent="0.2">
      <c r="A251" s="4"/>
      <c r="B251" s="26"/>
      <c r="C251" s="11"/>
    </row>
    <row r="252" spans="1:3" x14ac:dyDescent="0.2">
      <c r="A252" s="5"/>
      <c r="B252" s="26"/>
      <c r="C252" s="11"/>
    </row>
    <row r="253" spans="1:3" x14ac:dyDescent="0.2">
      <c r="A253" s="5"/>
      <c r="B253" s="26"/>
      <c r="C253" s="11"/>
    </row>
    <row r="254" spans="1:3" x14ac:dyDescent="0.2">
      <c r="A254" s="5"/>
      <c r="B254" s="26"/>
      <c r="C254" s="11"/>
    </row>
    <row r="255" spans="1:3" x14ac:dyDescent="0.2">
      <c r="A255" s="5"/>
      <c r="B255" s="26"/>
      <c r="C255" s="11"/>
    </row>
    <row r="256" spans="1:3" x14ac:dyDescent="0.2">
      <c r="A256" s="5"/>
      <c r="B256" s="26"/>
      <c r="C256" s="11"/>
    </row>
    <row r="257" spans="1:3" x14ac:dyDescent="0.2">
      <c r="A257" s="5"/>
      <c r="B257" s="26"/>
      <c r="C257" s="11"/>
    </row>
    <row r="258" spans="1:3" x14ac:dyDescent="0.2">
      <c r="A258" s="5"/>
      <c r="B258" s="26"/>
      <c r="C258" s="11"/>
    </row>
    <row r="259" spans="1:3" x14ac:dyDescent="0.2">
      <c r="A259" s="5"/>
      <c r="B259" s="26"/>
      <c r="C259" s="11"/>
    </row>
    <row r="260" spans="1:3" x14ac:dyDescent="0.2">
      <c r="A260" s="5"/>
      <c r="B260" s="26"/>
      <c r="C260" s="11"/>
    </row>
    <row r="261" spans="1:3" x14ac:dyDescent="0.2">
      <c r="A261" s="5"/>
      <c r="B261" s="26"/>
      <c r="C261" s="11"/>
    </row>
    <row r="262" spans="1:3" x14ac:dyDescent="0.2">
      <c r="A262" s="5"/>
      <c r="B262" s="26"/>
      <c r="C262" s="11"/>
    </row>
    <row r="263" spans="1:3" x14ac:dyDescent="0.2">
      <c r="A263" s="5"/>
      <c r="B263" s="26"/>
      <c r="C263" s="11"/>
    </row>
    <row r="264" spans="1:3" x14ac:dyDescent="0.2">
      <c r="A264" s="5"/>
      <c r="B264" s="26"/>
      <c r="C264" s="11"/>
    </row>
    <row r="265" spans="1:3" x14ac:dyDescent="0.2">
      <c r="A265" s="5"/>
      <c r="B265" s="26"/>
      <c r="C265" s="11"/>
    </row>
    <row r="266" spans="1:3" x14ac:dyDescent="0.2">
      <c r="A266" s="5"/>
      <c r="B266" s="26"/>
      <c r="C266" s="11"/>
    </row>
    <row r="267" spans="1:3" x14ac:dyDescent="0.2">
      <c r="A267" s="5"/>
      <c r="B267" s="26"/>
      <c r="C267" s="11"/>
    </row>
    <row r="268" spans="1:3" x14ac:dyDescent="0.2">
      <c r="A268" s="5"/>
      <c r="B268" s="26"/>
      <c r="C268" s="11"/>
    </row>
    <row r="269" spans="1:3" x14ac:dyDescent="0.2">
      <c r="A269" s="5"/>
      <c r="B269" s="26"/>
      <c r="C269" s="11"/>
    </row>
    <row r="270" spans="1:3" x14ac:dyDescent="0.2">
      <c r="A270" s="5"/>
      <c r="B270" s="26"/>
      <c r="C270" s="11"/>
    </row>
    <row r="271" spans="1:3" x14ac:dyDescent="0.2">
      <c r="A271" s="5"/>
      <c r="B271" s="26"/>
      <c r="C271" s="11"/>
    </row>
    <row r="272" spans="1:3" x14ac:dyDescent="0.2">
      <c r="A272" s="5"/>
      <c r="B272" s="26"/>
      <c r="C272" s="11"/>
    </row>
    <row r="273" spans="1:3" x14ac:dyDescent="0.2">
      <c r="A273" s="5"/>
      <c r="B273" s="26"/>
      <c r="C273" s="11"/>
    </row>
    <row r="274" spans="1:3" x14ac:dyDescent="0.2">
      <c r="A274" s="5"/>
      <c r="B274" s="26"/>
      <c r="C274" s="11"/>
    </row>
    <row r="275" spans="1:3" x14ac:dyDescent="0.2">
      <c r="A275" s="5"/>
      <c r="B275" s="26"/>
      <c r="C275" s="11"/>
    </row>
    <row r="276" spans="1:3" x14ac:dyDescent="0.2">
      <c r="A276" s="5"/>
      <c r="B276" s="26"/>
      <c r="C276" s="11"/>
    </row>
    <row r="277" spans="1:3" x14ac:dyDescent="0.2">
      <c r="A277" s="5"/>
      <c r="B277" s="26"/>
      <c r="C277" s="11"/>
    </row>
    <row r="278" spans="1:3" x14ac:dyDescent="0.2">
      <c r="A278" s="5"/>
      <c r="B278" s="26"/>
      <c r="C278" s="11"/>
    </row>
    <row r="279" spans="1:3" x14ac:dyDescent="0.2">
      <c r="A279" s="5"/>
      <c r="B279" s="26"/>
      <c r="C279" s="11"/>
    </row>
    <row r="280" spans="1:3" x14ac:dyDescent="0.2">
      <c r="A280" s="5"/>
      <c r="B280" s="26"/>
      <c r="C280" s="11"/>
    </row>
    <row r="281" spans="1:3" x14ac:dyDescent="0.2">
      <c r="A281" s="5"/>
      <c r="B281" s="26"/>
      <c r="C281" s="11"/>
    </row>
    <row r="282" spans="1:3" x14ac:dyDescent="0.2">
      <c r="A282" s="4"/>
      <c r="B282" s="26"/>
      <c r="C282" s="11"/>
    </row>
    <row r="283" spans="1:3" x14ac:dyDescent="0.2">
      <c r="A283" s="4"/>
      <c r="B283" s="26"/>
      <c r="C283" s="11"/>
    </row>
    <row r="284" spans="1:3" x14ac:dyDescent="0.2">
      <c r="A284" s="4"/>
      <c r="B284" s="26"/>
      <c r="C284" s="11"/>
    </row>
    <row r="285" spans="1:3" x14ac:dyDescent="0.2">
      <c r="A285" s="4"/>
      <c r="B285" s="26"/>
      <c r="C285" s="11"/>
    </row>
    <row r="286" spans="1:3" x14ac:dyDescent="0.2">
      <c r="A286" s="4"/>
      <c r="B286" s="26"/>
      <c r="C286" s="11"/>
    </row>
    <row r="287" spans="1:3" x14ac:dyDescent="0.2">
      <c r="A287" s="5"/>
      <c r="B287" s="26"/>
      <c r="C287" s="11"/>
    </row>
    <row r="288" spans="1:3" x14ac:dyDescent="0.2">
      <c r="A288" s="5"/>
      <c r="B288" s="26"/>
      <c r="C288" s="11"/>
    </row>
    <row r="289" spans="1:3" x14ac:dyDescent="0.2">
      <c r="A289" s="5"/>
      <c r="B289" s="26"/>
      <c r="C289" s="11"/>
    </row>
    <row r="290" spans="1:3" x14ac:dyDescent="0.2">
      <c r="A290" s="5"/>
      <c r="B290" s="26"/>
      <c r="C290" s="11"/>
    </row>
    <row r="291" spans="1:3" x14ac:dyDescent="0.2">
      <c r="A291" s="5"/>
      <c r="B291" s="26"/>
      <c r="C291" s="11"/>
    </row>
    <row r="292" spans="1:3" x14ac:dyDescent="0.2">
      <c r="A292" s="5"/>
      <c r="B292" s="26"/>
      <c r="C292" s="11"/>
    </row>
    <row r="293" spans="1:3" x14ac:dyDescent="0.2">
      <c r="A293" s="5"/>
      <c r="B293" s="26"/>
      <c r="C293" s="11"/>
    </row>
    <row r="294" spans="1:3" x14ac:dyDescent="0.2">
      <c r="A294" s="5"/>
      <c r="B294" s="26"/>
      <c r="C294" s="11"/>
    </row>
    <row r="295" spans="1:3" x14ac:dyDescent="0.2">
      <c r="A295" s="5"/>
      <c r="B295" s="26"/>
      <c r="C295" s="11"/>
    </row>
    <row r="296" spans="1:3" x14ac:dyDescent="0.2">
      <c r="A296" s="5"/>
      <c r="B296" s="26"/>
      <c r="C296" s="11"/>
    </row>
    <row r="297" spans="1:3" x14ac:dyDescent="0.2">
      <c r="A297" s="5"/>
      <c r="B297" s="26"/>
      <c r="C297" s="11"/>
    </row>
    <row r="298" spans="1:3" x14ac:dyDescent="0.2">
      <c r="A298" s="5"/>
      <c r="B298" s="26"/>
      <c r="C298" s="11"/>
    </row>
    <row r="299" spans="1:3" x14ac:dyDescent="0.2">
      <c r="A299" s="5"/>
      <c r="B299" s="26"/>
      <c r="C299" s="11"/>
    </row>
    <row r="300" spans="1:3" x14ac:dyDescent="0.2">
      <c r="A300" s="5"/>
      <c r="B300" s="26"/>
      <c r="C300" s="11"/>
    </row>
    <row r="301" spans="1:3" x14ac:dyDescent="0.2">
      <c r="A301" s="5"/>
      <c r="B301" s="26"/>
      <c r="C301" s="11"/>
    </row>
    <row r="302" spans="1:3" x14ac:dyDescent="0.2">
      <c r="A302" s="5"/>
      <c r="B302" s="26"/>
      <c r="C302" s="11"/>
    </row>
    <row r="303" spans="1:3" x14ac:dyDescent="0.2">
      <c r="A303" s="5"/>
      <c r="B303" s="26"/>
      <c r="C303" s="11"/>
    </row>
    <row r="304" spans="1:3" x14ac:dyDescent="0.2">
      <c r="A304" s="5"/>
      <c r="B304" s="26"/>
      <c r="C304" s="11"/>
    </row>
    <row r="305" spans="1:3" x14ac:dyDescent="0.2">
      <c r="A305" s="5"/>
      <c r="B305" s="26"/>
      <c r="C305" s="11"/>
    </row>
    <row r="306" spans="1:3" x14ac:dyDescent="0.2">
      <c r="A306" s="5"/>
      <c r="B306" s="26"/>
      <c r="C306" s="11"/>
    </row>
    <row r="307" spans="1:3" x14ac:dyDescent="0.2">
      <c r="A307" s="5"/>
      <c r="B307" s="26"/>
      <c r="C307" s="11"/>
    </row>
    <row r="308" spans="1:3" x14ac:dyDescent="0.2">
      <c r="A308" s="5"/>
      <c r="B308" s="26"/>
      <c r="C308" s="11"/>
    </row>
    <row r="309" spans="1:3" x14ac:dyDescent="0.2">
      <c r="A309" s="5"/>
      <c r="B309" s="26"/>
      <c r="C309" s="11"/>
    </row>
    <row r="310" spans="1:3" x14ac:dyDescent="0.2">
      <c r="A310" s="5"/>
      <c r="B310" s="26"/>
      <c r="C310" s="11"/>
    </row>
    <row r="311" spans="1:3" x14ac:dyDescent="0.2">
      <c r="A311" s="5"/>
      <c r="B311" s="26"/>
      <c r="C311" s="11"/>
    </row>
    <row r="312" spans="1:3" x14ac:dyDescent="0.2">
      <c r="A312" s="5"/>
      <c r="B312" s="26"/>
      <c r="C312" s="11"/>
    </row>
    <row r="313" spans="1:3" x14ac:dyDescent="0.2">
      <c r="A313" s="5"/>
      <c r="B313" s="26"/>
      <c r="C313" s="11"/>
    </row>
    <row r="314" spans="1:3" x14ac:dyDescent="0.2">
      <c r="A314" s="5"/>
      <c r="B314" s="26"/>
      <c r="C314" s="11"/>
    </row>
    <row r="315" spans="1:3" x14ac:dyDescent="0.2">
      <c r="A315" s="5"/>
      <c r="B315" s="26"/>
      <c r="C315" s="11"/>
    </row>
    <row r="316" spans="1:3" x14ac:dyDescent="0.2">
      <c r="A316" s="5"/>
      <c r="B316" s="26"/>
      <c r="C316" s="11"/>
    </row>
    <row r="317" spans="1:3" x14ac:dyDescent="0.2">
      <c r="A317" s="4"/>
      <c r="B317" s="26"/>
      <c r="C317" s="11"/>
    </row>
    <row r="318" spans="1:3" x14ac:dyDescent="0.2">
      <c r="A318" s="4"/>
      <c r="B318" s="26"/>
      <c r="C318" s="11"/>
    </row>
    <row r="319" spans="1:3" x14ac:dyDescent="0.2">
      <c r="A319" s="4"/>
      <c r="B319" s="26"/>
      <c r="C319" s="11"/>
    </row>
    <row r="320" spans="1:3" x14ac:dyDescent="0.2">
      <c r="A320" s="4"/>
      <c r="B320" s="26"/>
      <c r="C320" s="11"/>
    </row>
    <row r="321" spans="1:3" x14ac:dyDescent="0.2">
      <c r="A321" s="4"/>
      <c r="B321" s="26"/>
      <c r="C321" s="11"/>
    </row>
    <row r="322" spans="1:3" x14ac:dyDescent="0.2">
      <c r="A322" s="5"/>
      <c r="B322" s="26"/>
      <c r="C322" s="11"/>
    </row>
    <row r="323" spans="1:3" x14ac:dyDescent="0.2">
      <c r="A323" s="5"/>
      <c r="B323" s="26"/>
      <c r="C323" s="11"/>
    </row>
    <row r="324" spans="1:3" x14ac:dyDescent="0.2">
      <c r="A324" s="5"/>
      <c r="B324" s="26"/>
      <c r="C324" s="11"/>
    </row>
    <row r="325" spans="1:3" x14ac:dyDescent="0.2">
      <c r="A325" s="5"/>
      <c r="B325" s="26"/>
      <c r="C325" s="11"/>
    </row>
    <row r="326" spans="1:3" x14ac:dyDescent="0.2">
      <c r="A326" s="5"/>
      <c r="B326" s="26"/>
      <c r="C326" s="11"/>
    </row>
    <row r="327" spans="1:3" x14ac:dyDescent="0.2">
      <c r="A327" s="5"/>
      <c r="B327" s="26"/>
      <c r="C327" s="11"/>
    </row>
    <row r="328" spans="1:3" x14ac:dyDescent="0.2">
      <c r="A328" s="5"/>
      <c r="B328" s="26"/>
      <c r="C328" s="11"/>
    </row>
    <row r="329" spans="1:3" x14ac:dyDescent="0.2">
      <c r="A329" s="5"/>
      <c r="B329" s="26"/>
      <c r="C329" s="11"/>
    </row>
    <row r="330" spans="1:3" x14ac:dyDescent="0.2">
      <c r="A330" s="5"/>
      <c r="B330" s="26"/>
      <c r="C330" s="11"/>
    </row>
    <row r="331" spans="1:3" x14ac:dyDescent="0.2">
      <c r="A331" s="5"/>
      <c r="B331" s="26"/>
      <c r="C331" s="11"/>
    </row>
    <row r="332" spans="1:3" x14ac:dyDescent="0.2">
      <c r="A332" s="5"/>
      <c r="B332" s="26"/>
      <c r="C332" s="11"/>
    </row>
    <row r="333" spans="1:3" x14ac:dyDescent="0.2">
      <c r="A333" s="5"/>
      <c r="B333" s="26"/>
      <c r="C333" s="11"/>
    </row>
    <row r="334" spans="1:3" x14ac:dyDescent="0.2">
      <c r="A334" s="5"/>
      <c r="B334" s="26"/>
      <c r="C334" s="11"/>
    </row>
    <row r="335" spans="1:3" x14ac:dyDescent="0.2">
      <c r="A335" s="5"/>
      <c r="B335" s="26"/>
      <c r="C335" s="11"/>
    </row>
    <row r="336" spans="1:3" x14ac:dyDescent="0.2">
      <c r="A336" s="5"/>
      <c r="B336" s="26"/>
      <c r="C336" s="11"/>
    </row>
    <row r="337" spans="1:3" x14ac:dyDescent="0.2">
      <c r="A337" s="5"/>
      <c r="B337" s="26"/>
      <c r="C337" s="11"/>
    </row>
    <row r="338" spans="1:3" x14ac:dyDescent="0.2">
      <c r="A338" s="5"/>
      <c r="B338" s="26"/>
      <c r="C338" s="11"/>
    </row>
    <row r="339" spans="1:3" x14ac:dyDescent="0.2">
      <c r="A339" s="5"/>
      <c r="B339" s="26"/>
      <c r="C339" s="11"/>
    </row>
    <row r="340" spans="1:3" x14ac:dyDescent="0.2">
      <c r="A340" s="5"/>
      <c r="B340" s="26"/>
      <c r="C340" s="11"/>
    </row>
    <row r="341" spans="1:3" x14ac:dyDescent="0.2">
      <c r="A341" s="5"/>
      <c r="B341" s="26"/>
      <c r="C341" s="11"/>
    </row>
    <row r="342" spans="1:3" x14ac:dyDescent="0.2">
      <c r="A342" s="5"/>
      <c r="B342" s="26"/>
      <c r="C342" s="11"/>
    </row>
    <row r="343" spans="1:3" x14ac:dyDescent="0.2">
      <c r="A343" s="5"/>
      <c r="B343" s="26"/>
      <c r="C343" s="11"/>
    </row>
    <row r="344" spans="1:3" x14ac:dyDescent="0.2">
      <c r="A344" s="5"/>
      <c r="B344" s="26"/>
      <c r="C344" s="11"/>
    </row>
    <row r="345" spans="1:3" x14ac:dyDescent="0.2">
      <c r="A345" s="5"/>
      <c r="B345" s="26"/>
      <c r="C345" s="11"/>
    </row>
    <row r="346" spans="1:3" x14ac:dyDescent="0.2">
      <c r="A346" s="5"/>
      <c r="B346" s="26"/>
      <c r="C346" s="11"/>
    </row>
    <row r="347" spans="1:3" x14ac:dyDescent="0.2">
      <c r="A347" s="5"/>
      <c r="B347" s="26"/>
      <c r="C347" s="11"/>
    </row>
    <row r="348" spans="1:3" x14ac:dyDescent="0.2">
      <c r="A348" s="5"/>
      <c r="B348" s="26"/>
      <c r="C348" s="11"/>
    </row>
    <row r="349" spans="1:3" x14ac:dyDescent="0.2">
      <c r="A349" s="5"/>
      <c r="B349" s="26"/>
      <c r="C349" s="11"/>
    </row>
    <row r="350" spans="1:3" x14ac:dyDescent="0.2">
      <c r="A350" s="5"/>
      <c r="B350" s="26"/>
      <c r="C350" s="11"/>
    </row>
    <row r="351" spans="1:3" x14ac:dyDescent="0.2">
      <c r="A351" s="5"/>
      <c r="B351" s="26"/>
      <c r="C351" s="11"/>
    </row>
    <row r="352" spans="1:3" x14ac:dyDescent="0.2">
      <c r="A352" s="4"/>
      <c r="B352" s="26"/>
      <c r="C352" s="11"/>
    </row>
    <row r="353" spans="1:3" x14ac:dyDescent="0.2">
      <c r="A353" s="4"/>
      <c r="B353" s="26"/>
      <c r="C353" s="11"/>
    </row>
    <row r="354" spans="1:3" x14ac:dyDescent="0.2">
      <c r="A354" s="4"/>
      <c r="B354" s="26"/>
      <c r="C354" s="11"/>
    </row>
    <row r="355" spans="1:3" x14ac:dyDescent="0.2">
      <c r="A355" s="4"/>
      <c r="B355" s="26"/>
      <c r="C355" s="11"/>
    </row>
    <row r="356" spans="1:3" x14ac:dyDescent="0.2">
      <c r="A356" s="4"/>
      <c r="B356" s="26"/>
      <c r="C356" s="11"/>
    </row>
    <row r="357" spans="1:3" x14ac:dyDescent="0.2">
      <c r="A357" s="5"/>
      <c r="B357" s="26"/>
      <c r="C357" s="11"/>
    </row>
    <row r="358" spans="1:3" x14ac:dyDescent="0.2">
      <c r="A358" s="5"/>
      <c r="B358" s="26"/>
      <c r="C358" s="11"/>
    </row>
    <row r="359" spans="1:3" x14ac:dyDescent="0.2">
      <c r="A359" s="5"/>
      <c r="B359" s="26"/>
      <c r="C359" s="11"/>
    </row>
    <row r="360" spans="1:3" x14ac:dyDescent="0.2">
      <c r="A360" s="5"/>
      <c r="B360" s="26"/>
      <c r="C360" s="11"/>
    </row>
    <row r="361" spans="1:3" x14ac:dyDescent="0.2">
      <c r="A361" s="5"/>
      <c r="B361" s="26"/>
      <c r="C361" s="11"/>
    </row>
    <row r="362" spans="1:3" x14ac:dyDescent="0.2">
      <c r="A362" s="5"/>
      <c r="B362" s="26"/>
      <c r="C362" s="11"/>
    </row>
    <row r="363" spans="1:3" x14ac:dyDescent="0.2">
      <c r="A363" s="5"/>
      <c r="B363" s="26"/>
      <c r="C363" s="11"/>
    </row>
    <row r="364" spans="1:3" x14ac:dyDescent="0.2">
      <c r="A364" s="5"/>
      <c r="B364" s="26"/>
      <c r="C364" s="11"/>
    </row>
    <row r="365" spans="1:3" x14ac:dyDescent="0.2">
      <c r="A365" s="5"/>
      <c r="B365" s="26"/>
      <c r="C365" s="11"/>
    </row>
    <row r="366" spans="1:3" x14ac:dyDescent="0.2">
      <c r="A366" s="5"/>
      <c r="B366" s="26"/>
      <c r="C366" s="11"/>
    </row>
    <row r="367" spans="1:3" x14ac:dyDescent="0.2">
      <c r="A367" s="5"/>
      <c r="B367" s="26"/>
      <c r="C367" s="11"/>
    </row>
    <row r="368" spans="1:3" x14ac:dyDescent="0.2">
      <c r="A368" s="5"/>
      <c r="B368" s="26"/>
      <c r="C368" s="11"/>
    </row>
    <row r="369" spans="1:3" x14ac:dyDescent="0.2">
      <c r="A369" s="5"/>
      <c r="B369" s="26"/>
      <c r="C369" s="11"/>
    </row>
    <row r="370" spans="1:3" x14ac:dyDescent="0.2">
      <c r="A370" s="5"/>
      <c r="B370" s="26"/>
      <c r="C370" s="11"/>
    </row>
    <row r="371" spans="1:3" x14ac:dyDescent="0.2">
      <c r="A371" s="5"/>
      <c r="B371" s="26"/>
      <c r="C371" s="11"/>
    </row>
    <row r="372" spans="1:3" x14ac:dyDescent="0.2">
      <c r="A372" s="5"/>
      <c r="B372" s="26"/>
      <c r="C372" s="11"/>
    </row>
    <row r="373" spans="1:3" x14ac:dyDescent="0.2">
      <c r="A373" s="5"/>
      <c r="B373" s="26"/>
      <c r="C373" s="11"/>
    </row>
    <row r="374" spans="1:3" x14ac:dyDescent="0.2">
      <c r="A374" s="5"/>
      <c r="B374" s="26"/>
      <c r="C374" s="11"/>
    </row>
    <row r="375" spans="1:3" x14ac:dyDescent="0.2">
      <c r="A375" s="5"/>
      <c r="B375" s="26"/>
      <c r="C375" s="11"/>
    </row>
    <row r="376" spans="1:3" x14ac:dyDescent="0.2">
      <c r="A376" s="5"/>
      <c r="B376" s="26"/>
      <c r="C376" s="11"/>
    </row>
    <row r="377" spans="1:3" x14ac:dyDescent="0.2">
      <c r="A377" s="5"/>
      <c r="B377" s="26"/>
      <c r="C377" s="11"/>
    </row>
    <row r="378" spans="1:3" x14ac:dyDescent="0.2">
      <c r="A378" s="5"/>
      <c r="B378" s="26"/>
      <c r="C378" s="11"/>
    </row>
    <row r="379" spans="1:3" x14ac:dyDescent="0.2">
      <c r="A379" s="5"/>
      <c r="B379" s="26"/>
      <c r="C379" s="11"/>
    </row>
    <row r="380" spans="1:3" x14ac:dyDescent="0.2">
      <c r="A380" s="5"/>
      <c r="B380" s="26"/>
      <c r="C380" s="11"/>
    </row>
    <row r="381" spans="1:3" x14ac:dyDescent="0.2">
      <c r="A381" s="5"/>
      <c r="B381" s="26"/>
      <c r="C381" s="11"/>
    </row>
    <row r="382" spans="1:3" x14ac:dyDescent="0.2">
      <c r="A382" s="5"/>
      <c r="B382" s="26"/>
      <c r="C382" s="11"/>
    </row>
    <row r="383" spans="1:3" x14ac:dyDescent="0.2">
      <c r="A383" s="5"/>
      <c r="B383" s="26"/>
      <c r="C383" s="11"/>
    </row>
    <row r="384" spans="1:3" x14ac:dyDescent="0.2">
      <c r="A384" s="5"/>
      <c r="B384" s="26"/>
      <c r="C384" s="11"/>
    </row>
    <row r="385" spans="1:3" x14ac:dyDescent="0.2">
      <c r="A385" s="5"/>
      <c r="B385" s="26"/>
      <c r="C385" s="11"/>
    </row>
    <row r="386" spans="1:3" x14ac:dyDescent="0.2">
      <c r="A386" s="5"/>
      <c r="B386" s="26"/>
      <c r="C386" s="11"/>
    </row>
    <row r="387" spans="1:3" x14ac:dyDescent="0.2">
      <c r="A387" s="4"/>
      <c r="B387" s="26"/>
      <c r="C387" s="11"/>
    </row>
    <row r="388" spans="1:3" x14ac:dyDescent="0.2">
      <c r="A388" s="4"/>
      <c r="B388" s="26"/>
      <c r="C388" s="11"/>
    </row>
    <row r="389" spans="1:3" x14ac:dyDescent="0.2">
      <c r="A389" s="4"/>
      <c r="B389" s="26"/>
      <c r="C389" s="11"/>
    </row>
    <row r="390" spans="1:3" x14ac:dyDescent="0.2">
      <c r="A390" s="4"/>
      <c r="B390" s="26"/>
      <c r="C390" s="11"/>
    </row>
    <row r="391" spans="1:3" x14ac:dyDescent="0.2">
      <c r="A391" s="4"/>
      <c r="B391" s="26"/>
      <c r="C391" s="11"/>
    </row>
    <row r="392" spans="1:3" x14ac:dyDescent="0.2">
      <c r="A392" s="5"/>
      <c r="B392" s="26"/>
      <c r="C392" s="11"/>
    </row>
    <row r="393" spans="1:3" x14ac:dyDescent="0.2">
      <c r="A393" s="5"/>
      <c r="B393" s="26"/>
      <c r="C393" s="11"/>
    </row>
    <row r="394" spans="1:3" x14ac:dyDescent="0.2">
      <c r="A394" s="5"/>
      <c r="B394" s="26"/>
      <c r="C394" s="11"/>
    </row>
    <row r="395" spans="1:3" x14ac:dyDescent="0.2">
      <c r="A395" s="5"/>
      <c r="B395" s="26"/>
      <c r="C395" s="11"/>
    </row>
    <row r="396" spans="1:3" x14ac:dyDescent="0.2">
      <c r="A396" s="5"/>
      <c r="B396" s="26"/>
      <c r="C396" s="11"/>
    </row>
    <row r="397" spans="1:3" x14ac:dyDescent="0.2">
      <c r="A397" s="5"/>
      <c r="B397" s="26"/>
      <c r="C397" s="11"/>
    </row>
    <row r="398" spans="1:3" x14ac:dyDescent="0.2">
      <c r="A398" s="5"/>
      <c r="B398" s="26"/>
      <c r="C398" s="11"/>
    </row>
    <row r="399" spans="1:3" x14ac:dyDescent="0.2">
      <c r="A399" s="5"/>
      <c r="B399" s="26"/>
      <c r="C399" s="11"/>
    </row>
    <row r="400" spans="1:3" x14ac:dyDescent="0.2">
      <c r="A400" s="5"/>
      <c r="B400" s="26"/>
      <c r="C400" s="11"/>
    </row>
    <row r="401" spans="1:3" x14ac:dyDescent="0.2">
      <c r="A401" s="5"/>
      <c r="B401" s="26"/>
      <c r="C401" s="11"/>
    </row>
    <row r="402" spans="1:3" x14ac:dyDescent="0.2">
      <c r="A402" s="5"/>
      <c r="B402" s="26"/>
      <c r="C402" s="11"/>
    </row>
    <row r="403" spans="1:3" x14ac:dyDescent="0.2">
      <c r="A403" s="5"/>
      <c r="B403" s="26"/>
      <c r="C403" s="11"/>
    </row>
    <row r="404" spans="1:3" x14ac:dyDescent="0.2">
      <c r="A404" s="5"/>
      <c r="B404" s="26"/>
      <c r="C404" s="11"/>
    </row>
    <row r="405" spans="1:3" x14ac:dyDescent="0.2">
      <c r="A405" s="5"/>
      <c r="B405" s="26"/>
      <c r="C405" s="11"/>
    </row>
    <row r="406" spans="1:3" x14ac:dyDescent="0.2">
      <c r="A406" s="5"/>
      <c r="B406" s="26"/>
      <c r="C406" s="11"/>
    </row>
    <row r="407" spans="1:3" x14ac:dyDescent="0.2">
      <c r="A407" s="5"/>
      <c r="B407" s="26"/>
      <c r="C407" s="11"/>
    </row>
    <row r="408" spans="1:3" x14ac:dyDescent="0.2">
      <c r="A408" s="5"/>
      <c r="B408" s="26"/>
      <c r="C408" s="11"/>
    </row>
    <row r="409" spans="1:3" x14ac:dyDescent="0.2">
      <c r="A409" s="5"/>
      <c r="B409" s="26"/>
      <c r="C409" s="11"/>
    </row>
    <row r="410" spans="1:3" x14ac:dyDescent="0.2">
      <c r="A410" s="5"/>
      <c r="B410" s="26"/>
      <c r="C410" s="11"/>
    </row>
    <row r="411" spans="1:3" x14ac:dyDescent="0.2">
      <c r="A411" s="5"/>
      <c r="B411" s="26"/>
      <c r="C411" s="11"/>
    </row>
    <row r="412" spans="1:3" x14ac:dyDescent="0.2">
      <c r="A412" s="5"/>
      <c r="B412" s="26"/>
      <c r="C412" s="11"/>
    </row>
    <row r="413" spans="1:3" x14ac:dyDescent="0.2">
      <c r="A413" s="5"/>
      <c r="B413" s="26"/>
      <c r="C413" s="11"/>
    </row>
    <row r="414" spans="1:3" x14ac:dyDescent="0.2">
      <c r="A414" s="5"/>
      <c r="B414" s="26"/>
      <c r="C414" s="11"/>
    </row>
    <row r="415" spans="1:3" x14ac:dyDescent="0.2">
      <c r="A415" s="5"/>
      <c r="B415" s="26"/>
      <c r="C415" s="11"/>
    </row>
    <row r="416" spans="1:3" x14ac:dyDescent="0.2">
      <c r="A416" s="5"/>
      <c r="B416" s="26"/>
      <c r="C416" s="11"/>
    </row>
    <row r="417" spans="1:3" x14ac:dyDescent="0.2">
      <c r="A417" s="5"/>
      <c r="B417" s="26"/>
      <c r="C417" s="11"/>
    </row>
    <row r="418" spans="1:3" x14ac:dyDescent="0.2">
      <c r="A418" s="5"/>
      <c r="B418" s="26"/>
      <c r="C418" s="11"/>
    </row>
    <row r="419" spans="1:3" x14ac:dyDescent="0.2">
      <c r="A419" s="5"/>
      <c r="B419" s="26"/>
      <c r="C419" s="11"/>
    </row>
    <row r="420" spans="1:3" x14ac:dyDescent="0.2">
      <c r="A420" s="5"/>
      <c r="B420" s="26"/>
      <c r="C420" s="11"/>
    </row>
    <row r="421" spans="1:3" x14ac:dyDescent="0.2">
      <c r="A421" s="5"/>
      <c r="B421" s="26"/>
      <c r="C42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Crayola Method</vt:lpstr>
      <vt:lpstr>Boat Method</vt:lpstr>
      <vt:lpstr>Boat Method (Retest)</vt:lpstr>
      <vt:lpstr>Metsä EB</vt:lpstr>
      <vt:lpstr>Formatting for R</vt:lpstr>
      <vt:lpstr>Figures for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Mackenzie Jane Lanning</dc:creator>
  <cp:lastModifiedBy>Mackenzie Jane Lanning</cp:lastModifiedBy>
  <dcterms:created xsi:type="dcterms:W3CDTF">2025-09-20T18:03:06Z</dcterms:created>
  <dcterms:modified xsi:type="dcterms:W3CDTF">2026-03-15T18:02:36Z</dcterms:modified>
</cp:coreProperties>
</file>