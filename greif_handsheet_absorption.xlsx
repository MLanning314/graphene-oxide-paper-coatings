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mjl9889_ads_northwestern_edu/Documents/"/>
    </mc:Choice>
  </mc:AlternateContent>
  <xr:revisionPtr revIDLastSave="1051" documentId="8_{99F27D11-1FB3-B243-97B8-0213D7CA5422}" xr6:coauthVersionLast="47" xr6:coauthVersionMax="47" xr10:uidLastSave="{5DFD45F8-7709-394E-945E-9DF7D3E066EF}"/>
  <bookViews>
    <workbookView xWindow="1080" yWindow="1240" windowWidth="27640" windowHeight="16740" activeTab="1" xr2:uid="{C0A0AEE9-C198-8749-BAB4-A78CF5F6849B}"/>
  </bookViews>
  <sheets>
    <sheet name="Water" sheetId="1" r:id="rId1"/>
    <sheet name="Oil" sheetId="2" r:id="rId2"/>
    <sheet name="Formatting for R" sheetId="3" r:id="rId3"/>
    <sheet name="Figures for R" sheetId="4" r:id="rId4"/>
  </sheets>
  <externalReferences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8" i="1" l="1"/>
  <c r="C136" i="1"/>
  <c r="C135" i="1"/>
  <c r="C134" i="1"/>
  <c r="C133" i="1"/>
  <c r="C132" i="1"/>
  <c r="C131" i="1"/>
  <c r="C130" i="1"/>
  <c r="C112" i="1"/>
  <c r="C111" i="1"/>
  <c r="C110" i="1"/>
  <c r="C109" i="1"/>
  <c r="C108" i="1"/>
  <c r="C107" i="1"/>
  <c r="C106" i="1"/>
  <c r="H94" i="1"/>
  <c r="H93" i="1"/>
  <c r="H92" i="1"/>
  <c r="H91" i="1"/>
  <c r="H88" i="1"/>
  <c r="H87" i="1"/>
  <c r="H86" i="1"/>
  <c r="H85" i="1"/>
  <c r="H82" i="1"/>
  <c r="H81" i="1"/>
  <c r="H80" i="1"/>
  <c r="H79" i="1"/>
  <c r="H76" i="1"/>
  <c r="H75" i="1"/>
  <c r="H74" i="1"/>
  <c r="H73" i="1"/>
  <c r="H70" i="1"/>
  <c r="H69" i="1"/>
  <c r="H68" i="1"/>
  <c r="H67" i="1"/>
  <c r="H64" i="1"/>
  <c r="H63" i="1"/>
  <c r="H62" i="1"/>
  <c r="H61" i="1"/>
  <c r="H58" i="1"/>
  <c r="H57" i="1"/>
  <c r="H56" i="1"/>
  <c r="H55" i="1"/>
  <c r="G94" i="1"/>
  <c r="G93" i="1"/>
  <c r="G92" i="1"/>
  <c r="G91" i="1"/>
  <c r="G148" i="1" s="1"/>
  <c r="G88" i="1"/>
  <c r="G87" i="1"/>
  <c r="G86" i="1"/>
  <c r="G85" i="1"/>
  <c r="G82" i="1"/>
  <c r="G81" i="1"/>
  <c r="G80" i="1"/>
  <c r="G79" i="1"/>
  <c r="G146" i="1" s="1"/>
  <c r="G76" i="1"/>
  <c r="G75" i="1"/>
  <c r="G74" i="1"/>
  <c r="G73" i="1"/>
  <c r="G70" i="1"/>
  <c r="G69" i="1"/>
  <c r="G68" i="1"/>
  <c r="G67" i="1"/>
  <c r="G64" i="1"/>
  <c r="G63" i="1"/>
  <c r="G62" i="1"/>
  <c r="G61" i="1"/>
  <c r="G58" i="1"/>
  <c r="G57" i="1"/>
  <c r="G56" i="1"/>
  <c r="G55" i="1"/>
  <c r="F94" i="1"/>
  <c r="F93" i="1"/>
  <c r="F92" i="1"/>
  <c r="F91" i="1"/>
  <c r="F148" i="1" s="1"/>
  <c r="F88" i="1"/>
  <c r="F87" i="1"/>
  <c r="F86" i="1"/>
  <c r="F147" i="1" s="1"/>
  <c r="F85" i="1"/>
  <c r="F82" i="1"/>
  <c r="F81" i="1"/>
  <c r="F80" i="1"/>
  <c r="F79" i="1"/>
  <c r="F146" i="1" s="1"/>
  <c r="F76" i="1"/>
  <c r="F75" i="1"/>
  <c r="F74" i="1"/>
  <c r="F73" i="1"/>
  <c r="F70" i="1"/>
  <c r="F69" i="1"/>
  <c r="F68" i="1"/>
  <c r="F67" i="1"/>
  <c r="F64" i="1"/>
  <c r="F63" i="1"/>
  <c r="F62" i="1"/>
  <c r="F61" i="1"/>
  <c r="F58" i="1"/>
  <c r="F57" i="1"/>
  <c r="F56" i="1"/>
  <c r="F55" i="1"/>
  <c r="F106" i="1" s="1"/>
  <c r="E94" i="1"/>
  <c r="E93" i="1"/>
  <c r="E92" i="1"/>
  <c r="E91" i="1"/>
  <c r="E148" i="1" s="1"/>
  <c r="E88" i="1"/>
  <c r="E87" i="1"/>
  <c r="E86" i="1"/>
  <c r="E85" i="1"/>
  <c r="E82" i="1"/>
  <c r="E81" i="1"/>
  <c r="E80" i="1"/>
  <c r="E79" i="1"/>
  <c r="E146" i="1" s="1"/>
  <c r="E76" i="1"/>
  <c r="E75" i="1"/>
  <c r="E74" i="1"/>
  <c r="E73" i="1"/>
  <c r="E133" i="1" s="1"/>
  <c r="E70" i="1"/>
  <c r="E69" i="1"/>
  <c r="E68" i="1"/>
  <c r="E67" i="1"/>
  <c r="E64" i="1"/>
  <c r="E63" i="1"/>
  <c r="E62" i="1"/>
  <c r="E61" i="1"/>
  <c r="E131" i="1" s="1"/>
  <c r="E58" i="1"/>
  <c r="E57" i="1"/>
  <c r="E56" i="1"/>
  <c r="E55" i="1"/>
  <c r="D94" i="1"/>
  <c r="D93" i="1"/>
  <c r="D92" i="1"/>
  <c r="D91" i="1"/>
  <c r="D88" i="1"/>
  <c r="D87" i="1"/>
  <c r="D86" i="1"/>
  <c r="D85" i="1"/>
  <c r="D82" i="1"/>
  <c r="D81" i="1"/>
  <c r="D80" i="1"/>
  <c r="D79" i="1"/>
  <c r="D76" i="1"/>
  <c r="D75" i="1"/>
  <c r="D74" i="1"/>
  <c r="D73" i="1"/>
  <c r="D70" i="1"/>
  <c r="D69" i="1"/>
  <c r="D68" i="1"/>
  <c r="D67" i="1"/>
  <c r="D64" i="1"/>
  <c r="D63" i="1"/>
  <c r="D62" i="1"/>
  <c r="D61" i="1"/>
  <c r="D58" i="1"/>
  <c r="D57" i="1"/>
  <c r="D56" i="1"/>
  <c r="D55" i="1"/>
  <c r="C91" i="1"/>
  <c r="C86" i="1"/>
  <c r="C74" i="1"/>
  <c r="C73" i="1"/>
  <c r="C70" i="1"/>
  <c r="C69" i="1"/>
  <c r="C68" i="1"/>
  <c r="C67" i="1"/>
  <c r="C64" i="1"/>
  <c r="C63" i="1"/>
  <c r="C62" i="1"/>
  <c r="C61" i="1"/>
  <c r="C58" i="1"/>
  <c r="C57" i="1"/>
  <c r="C56" i="1"/>
  <c r="C55" i="1"/>
  <c r="H88" i="2"/>
  <c r="G88" i="2"/>
  <c r="F88" i="2"/>
  <c r="E88" i="2"/>
  <c r="D88" i="2"/>
  <c r="C88" i="2"/>
  <c r="H87" i="2"/>
  <c r="G87" i="2"/>
  <c r="F87" i="2"/>
  <c r="E87" i="2"/>
  <c r="D87" i="2"/>
  <c r="C87" i="2"/>
  <c r="H86" i="2"/>
  <c r="G86" i="2"/>
  <c r="F86" i="2"/>
  <c r="E86" i="2"/>
  <c r="D86" i="2"/>
  <c r="C86" i="2"/>
  <c r="H85" i="2"/>
  <c r="G85" i="2"/>
  <c r="F85" i="2"/>
  <c r="E85" i="2"/>
  <c r="D85" i="2"/>
  <c r="C85" i="2"/>
  <c r="H82" i="2"/>
  <c r="G82" i="2"/>
  <c r="F82" i="2"/>
  <c r="E82" i="2"/>
  <c r="D82" i="2"/>
  <c r="C82" i="2"/>
  <c r="H81" i="2"/>
  <c r="G81" i="2"/>
  <c r="F81" i="2"/>
  <c r="E81" i="2"/>
  <c r="D81" i="2"/>
  <c r="C81" i="2"/>
  <c r="H80" i="2"/>
  <c r="G80" i="2"/>
  <c r="F80" i="2"/>
  <c r="E80" i="2"/>
  <c r="D80" i="2"/>
  <c r="C80" i="2"/>
  <c r="H79" i="2"/>
  <c r="H122" i="2" s="1"/>
  <c r="G79" i="2"/>
  <c r="F79" i="2"/>
  <c r="E79" i="2"/>
  <c r="D79" i="2"/>
  <c r="C79" i="2"/>
  <c r="H76" i="2"/>
  <c r="G76" i="2"/>
  <c r="F76" i="2"/>
  <c r="E76" i="2"/>
  <c r="D76" i="2"/>
  <c r="C76" i="2"/>
  <c r="H75" i="2"/>
  <c r="G75" i="2"/>
  <c r="F75" i="2"/>
  <c r="E75" i="2"/>
  <c r="D75" i="2"/>
  <c r="C75" i="2"/>
  <c r="C121" i="2" s="1"/>
  <c r="H74" i="2"/>
  <c r="G74" i="2"/>
  <c r="F74" i="2"/>
  <c r="E74" i="2"/>
  <c r="D74" i="2"/>
  <c r="C74" i="2"/>
  <c r="H73" i="2"/>
  <c r="G73" i="2"/>
  <c r="G109" i="2" s="1"/>
  <c r="F73" i="2"/>
  <c r="E73" i="2"/>
  <c r="D73" i="2"/>
  <c r="C73" i="2"/>
  <c r="H70" i="2"/>
  <c r="G70" i="2"/>
  <c r="F70" i="2"/>
  <c r="E70" i="2"/>
  <c r="D70" i="2"/>
  <c r="C70" i="2"/>
  <c r="H69" i="2"/>
  <c r="G69" i="2"/>
  <c r="F69" i="2"/>
  <c r="E69" i="2"/>
  <c r="D69" i="2"/>
  <c r="C69" i="2"/>
  <c r="H68" i="2"/>
  <c r="G68" i="2"/>
  <c r="F68" i="2"/>
  <c r="E68" i="2"/>
  <c r="D68" i="2"/>
  <c r="C68" i="2"/>
  <c r="H67" i="2"/>
  <c r="G67" i="2"/>
  <c r="F67" i="2"/>
  <c r="E67" i="2"/>
  <c r="E108" i="2" s="1"/>
  <c r="D67" i="2"/>
  <c r="C67" i="2"/>
  <c r="H64" i="2"/>
  <c r="G64" i="2"/>
  <c r="F64" i="2"/>
  <c r="E64" i="2"/>
  <c r="D64" i="2"/>
  <c r="C64" i="2"/>
  <c r="H63" i="2"/>
  <c r="G63" i="2"/>
  <c r="F63" i="2"/>
  <c r="E63" i="2"/>
  <c r="D63" i="2"/>
  <c r="C63" i="2"/>
  <c r="H62" i="2"/>
  <c r="G62" i="2"/>
  <c r="F62" i="2"/>
  <c r="E62" i="2"/>
  <c r="D62" i="2"/>
  <c r="C62" i="2"/>
  <c r="H61" i="2"/>
  <c r="G61" i="2"/>
  <c r="F61" i="2"/>
  <c r="E61" i="2"/>
  <c r="D61" i="2"/>
  <c r="C61" i="2"/>
  <c r="H58" i="2"/>
  <c r="G58" i="2"/>
  <c r="F58" i="2"/>
  <c r="E58" i="2"/>
  <c r="D58" i="2"/>
  <c r="C58" i="2"/>
  <c r="H57" i="2"/>
  <c r="G57" i="2"/>
  <c r="F57" i="2"/>
  <c r="E57" i="2"/>
  <c r="D57" i="2"/>
  <c r="C57" i="2"/>
  <c r="H56" i="2"/>
  <c r="G56" i="2"/>
  <c r="F56" i="2"/>
  <c r="E56" i="2"/>
  <c r="D56" i="2"/>
  <c r="C56" i="2"/>
  <c r="C130" i="2" s="1"/>
  <c r="H55" i="2"/>
  <c r="H118" i="2" s="1"/>
  <c r="G55" i="2"/>
  <c r="F55" i="2"/>
  <c r="E55" i="2"/>
  <c r="D55" i="2"/>
  <c r="C55" i="2"/>
  <c r="C94" i="1"/>
  <c r="C93" i="1"/>
  <c r="C92" i="1"/>
  <c r="C88" i="1"/>
  <c r="C87" i="1"/>
  <c r="C85" i="1"/>
  <c r="C82" i="1"/>
  <c r="C81" i="1"/>
  <c r="C80" i="1"/>
  <c r="H134" i="1"/>
  <c r="C79" i="1"/>
  <c r="C76" i="1"/>
  <c r="C75" i="1"/>
  <c r="G120" i="1"/>
  <c r="E144" i="1"/>
  <c r="F119" i="1"/>
  <c r="G142" i="1"/>
  <c r="E118" i="1"/>
  <c r="H135" i="2" l="1"/>
  <c r="H145" i="2"/>
  <c r="H144" i="2"/>
  <c r="H131" i="2"/>
  <c r="G123" i="2"/>
  <c r="G135" i="2"/>
  <c r="G144" i="2"/>
  <c r="G118" i="2"/>
  <c r="G122" i="2"/>
  <c r="G111" i="2"/>
  <c r="F144" i="2"/>
  <c r="F143" i="2"/>
  <c r="F121" i="2"/>
  <c r="F147" i="2"/>
  <c r="F130" i="2"/>
  <c r="F134" i="2"/>
  <c r="E143" i="2"/>
  <c r="E130" i="2"/>
  <c r="E134" i="2"/>
  <c r="E147" i="2"/>
  <c r="E121" i="2"/>
  <c r="E118" i="2"/>
  <c r="E135" i="2"/>
  <c r="E106" i="2"/>
  <c r="D120" i="2"/>
  <c r="D143" i="2"/>
  <c r="D142" i="2"/>
  <c r="D146" i="2"/>
  <c r="D133" i="2"/>
  <c r="D147" i="2"/>
  <c r="E122" i="2"/>
  <c r="E110" i="2"/>
  <c r="G132" i="2"/>
  <c r="E131" i="2"/>
  <c r="G119" i="2"/>
  <c r="G131" i="2"/>
  <c r="G107" i="2"/>
  <c r="D118" i="2"/>
  <c r="D107" i="2"/>
  <c r="F119" i="2"/>
  <c r="F108" i="2"/>
  <c r="H120" i="2"/>
  <c r="H109" i="2"/>
  <c r="D122" i="2"/>
  <c r="D111" i="2"/>
  <c r="F123" i="2"/>
  <c r="H130" i="2"/>
  <c r="D106" i="2"/>
  <c r="D119" i="2"/>
  <c r="F107" i="2"/>
  <c r="D132" i="2"/>
  <c r="F120" i="2"/>
  <c r="H108" i="2"/>
  <c r="F133" i="2"/>
  <c r="H121" i="2"/>
  <c r="H134" i="2"/>
  <c r="D110" i="2"/>
  <c r="D123" i="2"/>
  <c r="F111" i="2"/>
  <c r="E119" i="2"/>
  <c r="E132" i="2"/>
  <c r="G120" i="2"/>
  <c r="G133" i="2"/>
  <c r="E123" i="2"/>
  <c r="C107" i="2"/>
  <c r="C111" i="2"/>
  <c r="C131" i="2"/>
  <c r="C120" i="2"/>
  <c r="C142" i="2"/>
  <c r="C133" i="2"/>
  <c r="C146" i="2"/>
  <c r="C118" i="2"/>
  <c r="C109" i="2"/>
  <c r="C122" i="2"/>
  <c r="C135" i="2"/>
  <c r="C134" i="2"/>
  <c r="H147" i="1"/>
  <c r="H108" i="1"/>
  <c r="H119" i="1"/>
  <c r="H132" i="1"/>
  <c r="H148" i="1"/>
  <c r="H142" i="1"/>
  <c r="H143" i="1"/>
  <c r="H122" i="1"/>
  <c r="H135" i="1"/>
  <c r="G135" i="1"/>
  <c r="G133" i="1"/>
  <c r="G107" i="1"/>
  <c r="G134" i="1"/>
  <c r="G123" i="1"/>
  <c r="G118" i="1"/>
  <c r="F132" i="1"/>
  <c r="F130" i="1"/>
  <c r="F107" i="1"/>
  <c r="E134" i="1"/>
  <c r="E111" i="1"/>
  <c r="E135" i="1"/>
  <c r="D130" i="1"/>
  <c r="D143" i="1"/>
  <c r="D144" i="1"/>
  <c r="D145" i="1"/>
  <c r="D147" i="1"/>
  <c r="D112" i="1"/>
  <c r="C143" i="1"/>
  <c r="C124" i="1"/>
  <c r="C142" i="1"/>
  <c r="C144" i="1"/>
  <c r="C146" i="1"/>
  <c r="E124" i="1"/>
  <c r="D136" i="1"/>
  <c r="D146" i="1"/>
  <c r="F145" i="1"/>
  <c r="F133" i="1"/>
  <c r="H121" i="1"/>
  <c r="E145" i="1"/>
  <c r="E132" i="1"/>
  <c r="C122" i="1"/>
  <c r="E147" i="1"/>
  <c r="D118" i="1"/>
  <c r="H145" i="1"/>
  <c r="H124" i="1"/>
  <c r="C145" i="1"/>
  <c r="G136" i="1"/>
  <c r="D123" i="1"/>
  <c r="D131" i="1"/>
  <c r="F120" i="1"/>
  <c r="C106" i="2"/>
  <c r="E107" i="2"/>
  <c r="G108" i="2"/>
  <c r="C110" i="2"/>
  <c r="E111" i="2"/>
  <c r="C119" i="2"/>
  <c r="E120" i="2"/>
  <c r="G121" i="2"/>
  <c r="C123" i="2"/>
  <c r="G130" i="2"/>
  <c r="C132" i="2"/>
  <c r="E133" i="2"/>
  <c r="G134" i="2"/>
  <c r="E142" i="2"/>
  <c r="G143" i="2"/>
  <c r="C145" i="2"/>
  <c r="E146" i="2"/>
  <c r="G147" i="2"/>
  <c r="F142" i="2"/>
  <c r="H143" i="2"/>
  <c r="D145" i="2"/>
  <c r="F146" i="2"/>
  <c r="H147" i="2"/>
  <c r="G142" i="2"/>
  <c r="C144" i="2"/>
  <c r="E145" i="2"/>
  <c r="G146" i="2"/>
  <c r="F106" i="2"/>
  <c r="H107" i="2"/>
  <c r="D109" i="2"/>
  <c r="F110" i="2"/>
  <c r="H111" i="2"/>
  <c r="D131" i="2"/>
  <c r="F132" i="2"/>
  <c r="H133" i="2"/>
  <c r="D135" i="2"/>
  <c r="H142" i="2"/>
  <c r="D144" i="2"/>
  <c r="F145" i="2"/>
  <c r="H146" i="2"/>
  <c r="G106" i="2"/>
  <c r="C108" i="2"/>
  <c r="E109" i="2"/>
  <c r="G110" i="2"/>
  <c r="C143" i="2"/>
  <c r="E144" i="2"/>
  <c r="G145" i="2"/>
  <c r="C147" i="2"/>
  <c r="H106" i="2"/>
  <c r="D108" i="2"/>
  <c r="F109" i="2"/>
  <c r="H110" i="2"/>
  <c r="F118" i="2"/>
  <c r="H119" i="2"/>
  <c r="D121" i="2"/>
  <c r="F122" i="2"/>
  <c r="H123" i="2"/>
  <c r="D130" i="2"/>
  <c r="F131" i="2"/>
  <c r="H132" i="2"/>
  <c r="D134" i="2"/>
  <c r="F135" i="2"/>
  <c r="E106" i="1"/>
  <c r="H109" i="1"/>
  <c r="E119" i="1"/>
  <c r="G147" i="1"/>
  <c r="G106" i="1"/>
  <c r="H107" i="1"/>
  <c r="D111" i="1"/>
  <c r="E112" i="1"/>
  <c r="F118" i="1"/>
  <c r="G119" i="1"/>
  <c r="H120" i="1"/>
  <c r="C123" i="1"/>
  <c r="D124" i="1"/>
  <c r="E130" i="1"/>
  <c r="F131" i="1"/>
  <c r="G132" i="1"/>
  <c r="H133" i="1"/>
  <c r="D142" i="1"/>
  <c r="E143" i="1"/>
  <c r="F144" i="1"/>
  <c r="G145" i="1"/>
  <c r="H146" i="1"/>
  <c r="D109" i="1"/>
  <c r="E110" i="1"/>
  <c r="F111" i="1"/>
  <c r="G112" i="1"/>
  <c r="H118" i="1"/>
  <c r="C121" i="1"/>
  <c r="D122" i="1"/>
  <c r="E123" i="1"/>
  <c r="F124" i="1"/>
  <c r="G130" i="1"/>
  <c r="H131" i="1"/>
  <c r="D135" i="1"/>
  <c r="E136" i="1"/>
  <c r="F142" i="1"/>
  <c r="G143" i="1"/>
  <c r="H144" i="1"/>
  <c r="C147" i="1"/>
  <c r="D148" i="1"/>
  <c r="H106" i="1"/>
  <c r="D110" i="1"/>
  <c r="F112" i="1"/>
  <c r="G131" i="1"/>
  <c r="E142" i="1"/>
  <c r="F143" i="1"/>
  <c r="G144" i="1"/>
  <c r="D108" i="1"/>
  <c r="E109" i="1"/>
  <c r="F110" i="1"/>
  <c r="G111" i="1"/>
  <c r="H112" i="1"/>
  <c r="C120" i="1"/>
  <c r="D121" i="1"/>
  <c r="E122" i="1"/>
  <c r="F123" i="1"/>
  <c r="G124" i="1"/>
  <c r="H130" i="1"/>
  <c r="D134" i="1"/>
  <c r="F136" i="1"/>
  <c r="D107" i="1"/>
  <c r="E108" i="1"/>
  <c r="F109" i="1"/>
  <c r="G110" i="1"/>
  <c r="H111" i="1"/>
  <c r="C119" i="1"/>
  <c r="D120" i="1"/>
  <c r="E121" i="1"/>
  <c r="F122" i="1"/>
  <c r="D133" i="1"/>
  <c r="F135" i="1"/>
  <c r="D106" i="1"/>
  <c r="E107" i="1"/>
  <c r="F108" i="1"/>
  <c r="G109" i="1"/>
  <c r="H110" i="1"/>
  <c r="C118" i="1"/>
  <c r="D119" i="1"/>
  <c r="E120" i="1"/>
  <c r="F121" i="1"/>
  <c r="G122" i="1"/>
  <c r="H123" i="1"/>
  <c r="D132" i="1"/>
  <c r="F134" i="1"/>
  <c r="H136" i="1"/>
  <c r="G108" i="1"/>
  <c r="G121" i="1"/>
</calcChain>
</file>

<file path=xl/sharedStrings.xml><?xml version="1.0" encoding="utf-8"?>
<sst xmlns="http://schemas.openxmlformats.org/spreadsheetml/2006/main" count="892" uniqueCount="29">
  <si>
    <t>Raw Weights (gms)</t>
  </si>
  <si>
    <t>Sample</t>
  </si>
  <si>
    <t>time (min)</t>
  </si>
  <si>
    <t>Absorbed weights per unit area (gm/cm^2)</t>
  </si>
  <si>
    <t>MEAN VALUES - Absorbed weights per unit area (gm/m^2)</t>
  </si>
  <si>
    <t>RMS - Absorbed weights per unit area (gm/m^2)</t>
  </si>
  <si>
    <t>MEAN VALUES - Absorbed weights per dry paper weight (gm/gm)</t>
  </si>
  <si>
    <t>Greif Handsheets from WMU</t>
  </si>
  <si>
    <t>H1 (0% GO - AKD-OGR Blend)</t>
  </si>
  <si>
    <t>H2 (0.10% GO - AKD-OGR Blend)</t>
  </si>
  <si>
    <t>H3 (0.20% GO - AKD-OGR Blend)</t>
  </si>
  <si>
    <t>H4 (0% GO - ASA-OGR Blend)</t>
  </si>
  <si>
    <t>H5 (0.10% GO - AKD-OGR Blend)</t>
  </si>
  <si>
    <t>H6 (0.20% GO - ASA-OGR Blend)</t>
  </si>
  <si>
    <t>Time</t>
  </si>
  <si>
    <t>Coating</t>
  </si>
  <si>
    <t>Raw Weight</t>
  </si>
  <si>
    <t xml:space="preserve">Absorption </t>
  </si>
  <si>
    <t>Solution</t>
  </si>
  <si>
    <t>Water</t>
  </si>
  <si>
    <t>H1</t>
  </si>
  <si>
    <t>H2</t>
  </si>
  <si>
    <t>H3</t>
  </si>
  <si>
    <t>H4</t>
  </si>
  <si>
    <t>H5</t>
  </si>
  <si>
    <t>H6</t>
  </si>
  <si>
    <t>Absorption</t>
  </si>
  <si>
    <t>RMS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</si>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</sst>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0.000000000"/>
    <numFmt numFmtId="174" formatCode="0.000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8"/>
      <name val="Aptos Narrow"/>
      <family val="2"/>
      <scheme val="minor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166" fontId="3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0" fontId="1" fillId="0" borderId="0" xfId="0" applyFont="1"/>
    <xf numFmtId="165" fontId="1" fillId="0" borderId="0" xfId="0" applyNumberFormat="1" applyFont="1" applyAlignment="1">
      <alignment horizontal="center" vertical="center"/>
    </xf>
    <xf numFmtId="0" fontId="6" fillId="0" borderId="0" xfId="0" applyFont="1"/>
    <xf numFmtId="165" fontId="0" fillId="0" borderId="0" xfId="0" applyNumberFormat="1"/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139740928816953E-2"/>
          <c:y val="2.5811806913749694E-2"/>
          <c:w val="0.88934544465135867"/>
          <c:h val="0.86511178914644693"/>
        </c:manualLayout>
      </c:layout>
      <c:scatterChart>
        <c:scatterStyle val="lineMarker"/>
        <c:varyColors val="0"/>
        <c:ser>
          <c:idx val="4"/>
          <c:order val="0"/>
          <c:tx>
            <c:strRef>
              <c:f>Water!$C$3</c:f>
              <c:strCache>
                <c:ptCount val="1"/>
                <c:pt idx="0">
                  <c:v>H1 (0% GO - AKD-OGR Blend)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5"/>
              </a:solidFill>
              <a:ln w="1270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Water!$C$142:$C$148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3.8175889523999356E-3</c:v>
                  </c:pt>
                  <c:pt idx="2">
                    <c:v>7.4648551131150237E-3</c:v>
                  </c:pt>
                  <c:pt idx="3">
                    <c:v>6.2340966540440131E-3</c:v>
                  </c:pt>
                  <c:pt idx="4">
                    <c:v>1.0942362262949458E-2</c:v>
                  </c:pt>
                  <c:pt idx="5">
                    <c:v>7.856533247907126E-3</c:v>
                  </c:pt>
                  <c:pt idx="6">
                    <c:v>1.2951591192551777E-2</c:v>
                  </c:pt>
                </c:numCache>
              </c:numRef>
            </c:plus>
            <c:minus>
              <c:numRef>
                <c:f>Water!$C$142:$C$148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3.8175889523999356E-3</c:v>
                  </c:pt>
                  <c:pt idx="2">
                    <c:v>7.4648551131150237E-3</c:v>
                  </c:pt>
                  <c:pt idx="3">
                    <c:v>6.2340966540440131E-3</c:v>
                  </c:pt>
                  <c:pt idx="4">
                    <c:v>1.0942362262949458E-2</c:v>
                  </c:pt>
                  <c:pt idx="5">
                    <c:v>7.856533247907126E-3</c:v>
                  </c:pt>
                  <c:pt idx="6">
                    <c:v>1.2951591192551777E-2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Water!$B$130:$B$136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Water!$C$130:$C$136</c:f>
              <c:numCache>
                <c:formatCode>0.0000</c:formatCode>
                <c:ptCount val="7"/>
                <c:pt idx="0">
                  <c:v>0</c:v>
                </c:pt>
                <c:pt idx="1">
                  <c:v>0.10526489306946864</c:v>
                </c:pt>
                <c:pt idx="2">
                  <c:v>0.13806099040769512</c:v>
                </c:pt>
                <c:pt idx="3">
                  <c:v>0.17138605705782842</c:v>
                </c:pt>
                <c:pt idx="4">
                  <c:v>0.17085708774592154</c:v>
                </c:pt>
                <c:pt idx="5">
                  <c:v>0.17984956604833846</c:v>
                </c:pt>
                <c:pt idx="6">
                  <c:v>0.18461028985550035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08-F44B-9745-D56119CC654B}"/>
            </c:ext>
          </c:extLst>
        </c:ser>
        <c:ser>
          <c:idx val="0"/>
          <c:order val="1"/>
          <c:tx>
            <c:strRef>
              <c:f>Water!$D$129</c:f>
              <c:strCache>
                <c:ptCount val="1"/>
                <c:pt idx="0">
                  <c:v>H2 (0.10% GO - AKD-OGR Blend)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Water!$D$142:$D$148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1.7971515272762802E-3</c:v>
                  </c:pt>
                  <c:pt idx="2">
                    <c:v>8.5600838238919473E-3</c:v>
                  </c:pt>
                  <c:pt idx="3">
                    <c:v>8.2844592011076766E-3</c:v>
                  </c:pt>
                  <c:pt idx="4">
                    <c:v>6.2900303454669409E-3</c:v>
                  </c:pt>
                  <c:pt idx="5">
                    <c:v>7.1180587092349356E-3</c:v>
                  </c:pt>
                  <c:pt idx="6">
                    <c:v>9.6256717554674531E-3</c:v>
                  </c:pt>
                </c:numCache>
              </c:numRef>
            </c:plus>
            <c:minus>
              <c:numRef>
                <c:f>Water!$D$142:$D$148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1.7971515272762802E-3</c:v>
                  </c:pt>
                  <c:pt idx="2">
                    <c:v>8.5600838238919473E-3</c:v>
                  </c:pt>
                  <c:pt idx="3">
                    <c:v>8.2844592011076766E-3</c:v>
                  </c:pt>
                  <c:pt idx="4">
                    <c:v>6.2900303454669409E-3</c:v>
                  </c:pt>
                  <c:pt idx="5">
                    <c:v>7.1180587092349356E-3</c:v>
                  </c:pt>
                  <c:pt idx="6">
                    <c:v>9.6256717554674531E-3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Water!$B$130:$B$136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Water!$D$130:$D$136</c:f>
              <c:numCache>
                <c:formatCode>0.0000</c:formatCode>
                <c:ptCount val="7"/>
                <c:pt idx="0">
                  <c:v>0</c:v>
                </c:pt>
                <c:pt idx="1">
                  <c:v>0.10314284108279165</c:v>
                </c:pt>
                <c:pt idx="2">
                  <c:v>0.14715638102760364</c:v>
                </c:pt>
                <c:pt idx="3">
                  <c:v>0.1680516979711002</c:v>
                </c:pt>
                <c:pt idx="4">
                  <c:v>0.1716083476636103</c:v>
                </c:pt>
                <c:pt idx="5">
                  <c:v>0.17383125372142902</c:v>
                </c:pt>
                <c:pt idx="6">
                  <c:v>0.17383125372142902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08-F44B-9745-D56119CC654B}"/>
            </c:ext>
          </c:extLst>
        </c:ser>
        <c:ser>
          <c:idx val="1"/>
          <c:order val="2"/>
          <c:tx>
            <c:strRef>
              <c:f>Water!$E$129</c:f>
              <c:strCache>
                <c:ptCount val="1"/>
                <c:pt idx="0">
                  <c:v>H3 (0.20% GO - AKD-OGR Blend)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Water!$E$142:$E$148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1.1587912928250271E-2</c:v>
                  </c:pt>
                  <c:pt idx="2">
                    <c:v>9.4191577793140309E-3</c:v>
                  </c:pt>
                  <c:pt idx="3">
                    <c:v>7.286652169162626E-3</c:v>
                  </c:pt>
                  <c:pt idx="4">
                    <c:v>1.146905939737926E-2</c:v>
                  </c:pt>
                  <c:pt idx="5">
                    <c:v>3.8379244162719799E-3</c:v>
                  </c:pt>
                  <c:pt idx="6">
                    <c:v>5.3321362215811019E-3</c:v>
                  </c:pt>
                </c:numCache>
              </c:numRef>
            </c:plus>
            <c:minus>
              <c:numRef>
                <c:f>Water!$E$142:$E$148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1.1587912928250271E-2</c:v>
                  </c:pt>
                  <c:pt idx="2">
                    <c:v>9.4191577793140309E-3</c:v>
                  </c:pt>
                  <c:pt idx="3">
                    <c:v>7.286652169162626E-3</c:v>
                  </c:pt>
                  <c:pt idx="4">
                    <c:v>1.146905939737926E-2</c:v>
                  </c:pt>
                  <c:pt idx="5">
                    <c:v>3.8379244162719799E-3</c:v>
                  </c:pt>
                  <c:pt idx="6">
                    <c:v>5.3321362215811019E-3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Water!$B$130:$B$136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Water!$E$130:$E$136</c:f>
              <c:numCache>
                <c:formatCode>0.0000</c:formatCode>
                <c:ptCount val="7"/>
                <c:pt idx="0">
                  <c:v>0</c:v>
                </c:pt>
                <c:pt idx="1">
                  <c:v>0.10192982007977053</c:v>
                </c:pt>
                <c:pt idx="2">
                  <c:v>0.14999899659466231</c:v>
                </c:pt>
                <c:pt idx="3">
                  <c:v>0.163898517514631</c:v>
                </c:pt>
                <c:pt idx="4">
                  <c:v>0.16679425103962447</c:v>
                </c:pt>
                <c:pt idx="5">
                  <c:v>0.17200657138461273</c:v>
                </c:pt>
                <c:pt idx="6">
                  <c:v>0.16737339774462315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D08-F44B-9745-D56119CC654B}"/>
            </c:ext>
          </c:extLst>
        </c:ser>
        <c:ser>
          <c:idx val="2"/>
          <c:order val="3"/>
          <c:tx>
            <c:strRef>
              <c:f>Water!$F$129</c:f>
              <c:strCache>
                <c:ptCount val="1"/>
                <c:pt idx="0">
                  <c:v>H4 (0% GO - ASA-OGR Blend)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Water!$F$142:$F$148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6.8300262118978312E-3</c:v>
                  </c:pt>
                  <c:pt idx="2">
                    <c:v>1.2375160756412202E-2</c:v>
                  </c:pt>
                  <c:pt idx="3">
                    <c:v>1.0742231289818034E-2</c:v>
                  </c:pt>
                  <c:pt idx="4">
                    <c:v>1.1231079135914954E-2</c:v>
                  </c:pt>
                  <c:pt idx="5">
                    <c:v>1.5059924534741708E-2</c:v>
                  </c:pt>
                  <c:pt idx="6">
                    <c:v>1.456262278379483E-2</c:v>
                  </c:pt>
                </c:numCache>
              </c:numRef>
            </c:plus>
            <c:minus>
              <c:numRef>
                <c:f>Water!$F$142:$F$148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6.8300262118978312E-3</c:v>
                  </c:pt>
                  <c:pt idx="2">
                    <c:v>1.2375160756412202E-2</c:v>
                  </c:pt>
                  <c:pt idx="3">
                    <c:v>1.0742231289818034E-2</c:v>
                  </c:pt>
                  <c:pt idx="4">
                    <c:v>1.1231079135914954E-2</c:v>
                  </c:pt>
                  <c:pt idx="5">
                    <c:v>1.5059924534741708E-2</c:v>
                  </c:pt>
                  <c:pt idx="6">
                    <c:v>1.456262278379483E-2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Water!$B$130:$B$136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Water!$F$130:$F$136</c:f>
              <c:numCache>
                <c:formatCode>0.0000</c:formatCode>
                <c:ptCount val="7"/>
                <c:pt idx="0">
                  <c:v>0</c:v>
                </c:pt>
                <c:pt idx="1">
                  <c:v>0.11182969590065293</c:v>
                </c:pt>
                <c:pt idx="2">
                  <c:v>0.16171451122888536</c:v>
                </c:pt>
                <c:pt idx="3">
                  <c:v>0.17761186995986059</c:v>
                </c:pt>
                <c:pt idx="4">
                  <c:v>0.18364190258195454</c:v>
                </c:pt>
                <c:pt idx="5">
                  <c:v>0.18912375042022186</c:v>
                </c:pt>
                <c:pt idx="6">
                  <c:v>0.1957019678261426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D08-F44B-9745-D56119CC654B}"/>
            </c:ext>
          </c:extLst>
        </c:ser>
        <c:ser>
          <c:idx val="3"/>
          <c:order val="4"/>
          <c:tx>
            <c:strRef>
              <c:f>Water!$G$129</c:f>
              <c:strCache>
                <c:ptCount val="1"/>
                <c:pt idx="0">
                  <c:v>H5 (0.10% GO - AKD-OGR Blend)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Water!$G$142:$G$148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4.8949748249146954E-3</c:v>
                  </c:pt>
                  <c:pt idx="2">
                    <c:v>5.1494266587437075E-3</c:v>
                  </c:pt>
                  <c:pt idx="3">
                    <c:v>4.0364996475725111E-3</c:v>
                  </c:pt>
                  <c:pt idx="4">
                    <c:v>4.0364996475725111E-3</c:v>
                  </c:pt>
                  <c:pt idx="5">
                    <c:v>3.3439044021008318E-3</c:v>
                  </c:pt>
                  <c:pt idx="6">
                    <c:v>4.8949748249146842E-3</c:v>
                  </c:pt>
                </c:numCache>
              </c:numRef>
            </c:plus>
            <c:minus>
              <c:numRef>
                <c:f>Water!$G$142:$G$148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4.8949748249146954E-3</c:v>
                  </c:pt>
                  <c:pt idx="2">
                    <c:v>5.1494266587437075E-3</c:v>
                  </c:pt>
                  <c:pt idx="3">
                    <c:v>4.0364996475725111E-3</c:v>
                  </c:pt>
                  <c:pt idx="4">
                    <c:v>4.0364996475725111E-3</c:v>
                  </c:pt>
                  <c:pt idx="5">
                    <c:v>3.3439044021008318E-3</c:v>
                  </c:pt>
                  <c:pt idx="6">
                    <c:v>4.8949748249146842E-3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Water!$B$130:$B$136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Water!$G$130:$G$136</c:f>
              <c:numCache>
                <c:formatCode>0.0000</c:formatCode>
                <c:ptCount val="7"/>
                <c:pt idx="0">
                  <c:v>0</c:v>
                </c:pt>
                <c:pt idx="1">
                  <c:v>0.11689407994200603</c:v>
                </c:pt>
                <c:pt idx="2">
                  <c:v>0.16499403628177889</c:v>
                </c:pt>
                <c:pt idx="3">
                  <c:v>0.17394286536824824</c:v>
                </c:pt>
                <c:pt idx="4">
                  <c:v>0.17282426173243956</c:v>
                </c:pt>
                <c:pt idx="5">
                  <c:v>0.1784172799114829</c:v>
                </c:pt>
                <c:pt idx="6">
                  <c:v>0.1784172799114829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D08-F44B-9745-D56119CC654B}"/>
            </c:ext>
          </c:extLst>
        </c:ser>
        <c:ser>
          <c:idx val="5"/>
          <c:order val="5"/>
          <c:tx>
            <c:strRef>
              <c:f>Water!$H$129</c:f>
              <c:strCache>
                <c:ptCount val="1"/>
                <c:pt idx="0">
                  <c:v>H6 (0.20% GO - ASA-OGR Blend)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Water!$H$142:$H$148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6.3230863531622957E-3</c:v>
                  </c:pt>
                  <c:pt idx="2">
                    <c:v>9.1043018343267418E-3</c:v>
                  </c:pt>
                  <c:pt idx="3">
                    <c:v>1.1631980901963828E-2</c:v>
                  </c:pt>
                  <c:pt idx="4">
                    <c:v>1.1431141054325534E-2</c:v>
                  </c:pt>
                  <c:pt idx="5">
                    <c:v>1.1259234403900628E-2</c:v>
                  </c:pt>
                  <c:pt idx="6">
                    <c:v>1.2204719261430231E-2</c:v>
                  </c:pt>
                </c:numCache>
              </c:numRef>
            </c:plus>
            <c:minus>
              <c:numRef>
                <c:f>Water!$H$142:$H$148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6.3230863531622957E-3</c:v>
                  </c:pt>
                  <c:pt idx="2">
                    <c:v>9.1043018343267418E-3</c:v>
                  </c:pt>
                  <c:pt idx="3">
                    <c:v>1.1631980901963828E-2</c:v>
                  </c:pt>
                  <c:pt idx="4">
                    <c:v>1.1431141054325534E-2</c:v>
                  </c:pt>
                  <c:pt idx="5">
                    <c:v>1.1259234403900628E-2</c:v>
                  </c:pt>
                  <c:pt idx="6">
                    <c:v>1.2204719261430231E-2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Water!$B$130:$B$136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Water!$H$130:$H$136</c:f>
              <c:numCache>
                <c:formatCode>0.0000</c:formatCode>
                <c:ptCount val="7"/>
                <c:pt idx="0">
                  <c:v>0</c:v>
                </c:pt>
                <c:pt idx="1">
                  <c:v>0.1084642364764265</c:v>
                </c:pt>
                <c:pt idx="2">
                  <c:v>0.15732200065499702</c:v>
                </c:pt>
                <c:pt idx="3">
                  <c:v>0.17051359698321106</c:v>
                </c:pt>
                <c:pt idx="4">
                  <c:v>0.17197932990856815</c:v>
                </c:pt>
                <c:pt idx="5">
                  <c:v>0.17393364047571103</c:v>
                </c:pt>
                <c:pt idx="6">
                  <c:v>0.17539937340106815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D08-F44B-9745-D56119CC6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298110517713953"/>
          <c:y val="7.1143387020374454E-2"/>
          <c:w val="0.30166281095241609"/>
          <c:h val="0.26329292697289491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139740928816953E-2"/>
          <c:y val="2.5811806913749694E-2"/>
          <c:w val="0.88934544465135867"/>
          <c:h val="0.86511178914644693"/>
        </c:manualLayout>
      </c:layout>
      <c:scatterChart>
        <c:scatterStyle val="lineMarker"/>
        <c:varyColors val="0"/>
        <c:ser>
          <c:idx val="4"/>
          <c:order val="0"/>
          <c:tx>
            <c:strRef>
              <c:f>Oil!$C$129</c:f>
              <c:strCache>
                <c:ptCount val="1"/>
                <c:pt idx="0">
                  <c:v>H1 (0% GO - AKD-OGR Blend)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5"/>
              </a:solidFill>
              <a:ln w="1270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Oil!$C$142:$C$147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3.9615649914252322E-2</c:v>
                  </c:pt>
                  <c:pt idx="2">
                    <c:v>4.4224483623426888E-2</c:v>
                  </c:pt>
                  <c:pt idx="3">
                    <c:v>3.2210338002964835E-2</c:v>
                  </c:pt>
                  <c:pt idx="4">
                    <c:v>3.4553512702870104E-2</c:v>
                  </c:pt>
                  <c:pt idx="5">
                    <c:v>3.5034600959588928E-2</c:v>
                  </c:pt>
                </c:numCache>
              </c:numRef>
            </c:plus>
            <c:minus>
              <c:numRef>
                <c:f>Oil!$C$142:$C$147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3.9615649914252322E-2</c:v>
                  </c:pt>
                  <c:pt idx="2">
                    <c:v>4.4224483623426888E-2</c:v>
                  </c:pt>
                  <c:pt idx="3">
                    <c:v>3.2210338002964835E-2</c:v>
                  </c:pt>
                  <c:pt idx="4">
                    <c:v>3.4553512702870104E-2</c:v>
                  </c:pt>
                  <c:pt idx="5">
                    <c:v>3.5034600959588928E-2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Oil!$B$130:$B$135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Oil!$C$130:$C$135</c:f>
              <c:numCache>
                <c:formatCode>0.0000</c:formatCode>
                <c:ptCount val="6"/>
                <c:pt idx="0">
                  <c:v>0</c:v>
                </c:pt>
                <c:pt idx="1">
                  <c:v>0.46272258634482666</c:v>
                </c:pt>
                <c:pt idx="2">
                  <c:v>0.48098795159528024</c:v>
                </c:pt>
                <c:pt idx="3">
                  <c:v>0.47711348017851735</c:v>
                </c:pt>
                <c:pt idx="4">
                  <c:v>0.47600648834515652</c:v>
                </c:pt>
                <c:pt idx="5">
                  <c:v>0.47766697609519781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0F-3B4B-AAAA-49AA25A9B7BE}"/>
            </c:ext>
          </c:extLst>
        </c:ser>
        <c:ser>
          <c:idx val="0"/>
          <c:order val="1"/>
          <c:tx>
            <c:strRef>
              <c:f>Oil!$D$129</c:f>
              <c:strCache>
                <c:ptCount val="1"/>
                <c:pt idx="0">
                  <c:v>H2 (0.10% GO - AKD-OGR Blend)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Oil!$D$142:$D$147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1.8241533221239E-2</c:v>
                  </c:pt>
                  <c:pt idx="2">
                    <c:v>1.5442480101896604E-2</c:v>
                  </c:pt>
                  <c:pt idx="3">
                    <c:v>1.2887632056825027E-2</c:v>
                  </c:pt>
                  <c:pt idx="4">
                    <c:v>3.7795971920237463E-3</c:v>
                  </c:pt>
                  <c:pt idx="5">
                    <c:v>1.3352199428399228E-2</c:v>
                  </c:pt>
                </c:numCache>
              </c:numRef>
            </c:plus>
            <c:minus>
              <c:numRef>
                <c:f>Oil!$D$142:$D$147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1.8241533221239E-2</c:v>
                  </c:pt>
                  <c:pt idx="2">
                    <c:v>1.5442480101896604E-2</c:v>
                  </c:pt>
                  <c:pt idx="3">
                    <c:v>1.2887632056825027E-2</c:v>
                  </c:pt>
                  <c:pt idx="4">
                    <c:v>3.7795971920237463E-3</c:v>
                  </c:pt>
                  <c:pt idx="5">
                    <c:v>1.3352199428399228E-2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Oil!$B$130:$B$135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Oil!$D$130:$D$135</c:f>
              <c:numCache>
                <c:formatCode>0.0000</c:formatCode>
                <c:ptCount val="6"/>
                <c:pt idx="0">
                  <c:v>0</c:v>
                </c:pt>
                <c:pt idx="1">
                  <c:v>0.46683883864527975</c:v>
                </c:pt>
                <c:pt idx="2">
                  <c:v>0.50354679543052383</c:v>
                </c:pt>
                <c:pt idx="3">
                  <c:v>0.49922821227931863</c:v>
                </c:pt>
                <c:pt idx="4">
                  <c:v>0.50916095352709057</c:v>
                </c:pt>
                <c:pt idx="5">
                  <c:v>0.50613794532124701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E0F-3B4B-AAAA-49AA25A9B7BE}"/>
            </c:ext>
          </c:extLst>
        </c:ser>
        <c:ser>
          <c:idx val="1"/>
          <c:order val="2"/>
          <c:tx>
            <c:strRef>
              <c:f>Oil!$E$129</c:f>
              <c:strCache>
                <c:ptCount val="1"/>
                <c:pt idx="0">
                  <c:v>H3 (0.20% GO - AKD-OGR Blend)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Oil!$E$142:$E$147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2.5122787675071284E-2</c:v>
                  </c:pt>
                  <c:pt idx="2">
                    <c:v>3.2002807385308196E-2</c:v>
                  </c:pt>
                  <c:pt idx="3">
                    <c:v>2.679776399282208E-2</c:v>
                  </c:pt>
                  <c:pt idx="4">
                    <c:v>2.4005992834421477E-2</c:v>
                  </c:pt>
                  <c:pt idx="5">
                    <c:v>3.1792183329930196E-2</c:v>
                  </c:pt>
                </c:numCache>
              </c:numRef>
            </c:plus>
            <c:minus>
              <c:numRef>
                <c:f>Oil!$E$142:$E$147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2.5122787675071284E-2</c:v>
                  </c:pt>
                  <c:pt idx="2">
                    <c:v>3.2002807385308196E-2</c:v>
                  </c:pt>
                  <c:pt idx="3">
                    <c:v>2.679776399282208E-2</c:v>
                  </c:pt>
                  <c:pt idx="4">
                    <c:v>2.4005992834421477E-2</c:v>
                  </c:pt>
                  <c:pt idx="5">
                    <c:v>3.1792183329930196E-2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Oil!$B$130:$B$135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Oil!$E$130:$E$135</c:f>
              <c:numCache>
                <c:formatCode>0.0000</c:formatCode>
                <c:ptCount val="6"/>
                <c:pt idx="0">
                  <c:v>0</c:v>
                </c:pt>
                <c:pt idx="1">
                  <c:v>0.46730660354744735</c:v>
                </c:pt>
                <c:pt idx="2">
                  <c:v>0.47395650346856244</c:v>
                </c:pt>
                <c:pt idx="3">
                  <c:v>0.47516557618149236</c:v>
                </c:pt>
                <c:pt idx="4">
                  <c:v>0.47637464889442249</c:v>
                </c:pt>
                <c:pt idx="5">
                  <c:v>0.47032928532977236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E0F-3B4B-AAAA-49AA25A9B7BE}"/>
            </c:ext>
          </c:extLst>
        </c:ser>
        <c:ser>
          <c:idx val="2"/>
          <c:order val="3"/>
          <c:tx>
            <c:strRef>
              <c:f>Oil!$F$129</c:f>
              <c:strCache>
                <c:ptCount val="1"/>
                <c:pt idx="0">
                  <c:v>H4 (0% GO - ASA-OGR Blend)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Oil!$F$142:$F$147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2.2100058912235876E-2</c:v>
                  </c:pt>
                  <c:pt idx="2">
                    <c:v>1.7860103070317865E-2</c:v>
                  </c:pt>
                  <c:pt idx="3">
                    <c:v>6.252925264507778E-3</c:v>
                  </c:pt>
                  <c:pt idx="4">
                    <c:v>1.8443479795380816E-2</c:v>
                  </c:pt>
                  <c:pt idx="5">
                    <c:v>3.1076472399211168E-2</c:v>
                  </c:pt>
                </c:numCache>
              </c:numRef>
            </c:plus>
            <c:minus>
              <c:numRef>
                <c:f>Oil!$F$142:$F$147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2.2100058912235876E-2</c:v>
                  </c:pt>
                  <c:pt idx="2">
                    <c:v>1.7860103070317865E-2</c:v>
                  </c:pt>
                  <c:pt idx="3">
                    <c:v>6.252925264507778E-3</c:v>
                  </c:pt>
                  <c:pt idx="4">
                    <c:v>1.8443479795380816E-2</c:v>
                  </c:pt>
                  <c:pt idx="5">
                    <c:v>3.1076472399211168E-2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Oil!$B$130:$B$135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Oil!$F$130:$F$135</c:f>
              <c:numCache>
                <c:formatCode>0.0000</c:formatCode>
                <c:ptCount val="6"/>
                <c:pt idx="0">
                  <c:v>0</c:v>
                </c:pt>
                <c:pt idx="1">
                  <c:v>0.49648700992317235</c:v>
                </c:pt>
                <c:pt idx="2">
                  <c:v>0.49987599975199948</c:v>
                </c:pt>
                <c:pt idx="3">
                  <c:v>0.50382982121896447</c:v>
                </c:pt>
                <c:pt idx="4">
                  <c:v>0.5049594844952402</c:v>
                </c:pt>
                <c:pt idx="5">
                  <c:v>0.52755275002075419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E0F-3B4B-AAAA-49AA25A9B7BE}"/>
            </c:ext>
          </c:extLst>
        </c:ser>
        <c:ser>
          <c:idx val="3"/>
          <c:order val="4"/>
          <c:tx>
            <c:strRef>
              <c:f>Oil!$G$129</c:f>
              <c:strCache>
                <c:ptCount val="1"/>
                <c:pt idx="0">
                  <c:v>H5 (0.10% GO - AKD-OGR Blend)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Oil!$G$142:$G$147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2.0946953982696678E-2</c:v>
                  </c:pt>
                  <c:pt idx="2">
                    <c:v>2.421306779275096E-2</c:v>
                  </c:pt>
                  <c:pt idx="3">
                    <c:v>2.7151040213026167E-2</c:v>
                  </c:pt>
                  <c:pt idx="4">
                    <c:v>2.7151040213026171E-2</c:v>
                  </c:pt>
                  <c:pt idx="5">
                    <c:v>2.6157051441309549E-2</c:v>
                  </c:pt>
                </c:numCache>
              </c:numRef>
            </c:plus>
            <c:minus>
              <c:numRef>
                <c:f>Oil!$G$142:$G$147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2.0946953982696678E-2</c:v>
                  </c:pt>
                  <c:pt idx="2">
                    <c:v>2.421306779275096E-2</c:v>
                  </c:pt>
                  <c:pt idx="3">
                    <c:v>2.7151040213026167E-2</c:v>
                  </c:pt>
                  <c:pt idx="4">
                    <c:v>2.7151040213026171E-2</c:v>
                  </c:pt>
                  <c:pt idx="5">
                    <c:v>2.6157051441309549E-2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Oil!$B$130:$B$135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Oil!$G$130:$G$135</c:f>
              <c:numCache>
                <c:formatCode>0.0000</c:formatCode>
                <c:ptCount val="6"/>
                <c:pt idx="0">
                  <c:v>0</c:v>
                </c:pt>
                <c:pt idx="1">
                  <c:v>0.49133817275899011</c:v>
                </c:pt>
                <c:pt idx="2">
                  <c:v>0.50125306862183971</c:v>
                </c:pt>
                <c:pt idx="3">
                  <c:v>0.51061713693675315</c:v>
                </c:pt>
                <c:pt idx="4">
                  <c:v>0.50731217164913678</c:v>
                </c:pt>
                <c:pt idx="5">
                  <c:v>0.50676134410120066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E0F-3B4B-AAAA-49AA25A9B7BE}"/>
            </c:ext>
          </c:extLst>
        </c:ser>
        <c:ser>
          <c:idx val="5"/>
          <c:order val="5"/>
          <c:tx>
            <c:strRef>
              <c:f>Oil!$H$129</c:f>
              <c:strCache>
                <c:ptCount val="1"/>
                <c:pt idx="0">
                  <c:v>H6 (0.20% GO - ASA-OGR Blend)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Oil!$H$142:$H$147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4.045128007246724E-2</c:v>
                  </c:pt>
                  <c:pt idx="2">
                    <c:v>3.4009123813124029E-2</c:v>
                  </c:pt>
                  <c:pt idx="3">
                    <c:v>3.4735180388012425E-2</c:v>
                  </c:pt>
                  <c:pt idx="4">
                    <c:v>3.5594990828388608E-2</c:v>
                  </c:pt>
                  <c:pt idx="5">
                    <c:v>2.7900523167019249E-2</c:v>
                  </c:pt>
                </c:numCache>
              </c:numRef>
            </c:plus>
            <c:minus>
              <c:numRef>
                <c:f>Oil!$H$142:$H$147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4.045128007246724E-2</c:v>
                  </c:pt>
                  <c:pt idx="2">
                    <c:v>3.4009123813124029E-2</c:v>
                  </c:pt>
                  <c:pt idx="3">
                    <c:v>3.4735180388012425E-2</c:v>
                  </c:pt>
                  <c:pt idx="4">
                    <c:v>3.5594990828388608E-2</c:v>
                  </c:pt>
                  <c:pt idx="5">
                    <c:v>2.7900523167019249E-2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Oil!$B$130:$B$135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Oil!$H$130:$H$135</c:f>
              <c:numCache>
                <c:formatCode>0.0000</c:formatCode>
                <c:ptCount val="6"/>
                <c:pt idx="0">
                  <c:v>0</c:v>
                </c:pt>
                <c:pt idx="1">
                  <c:v>0.41735101652021483</c:v>
                </c:pt>
                <c:pt idx="2">
                  <c:v>0.46243074304330434</c:v>
                </c:pt>
                <c:pt idx="3">
                  <c:v>0.4488583522621592</c:v>
                </c:pt>
                <c:pt idx="4">
                  <c:v>0.44401106984032157</c:v>
                </c:pt>
                <c:pt idx="5">
                  <c:v>0.44110270038721905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E0F-3B4B-AAAA-49AA25A9B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9895201054965215"/>
          <c:y val="0.37515860947591884"/>
          <c:w val="0.18815850572833961"/>
          <c:h val="0.1827455731554136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152</xdr:row>
      <xdr:rowOff>50800</xdr:rowOff>
    </xdr:from>
    <xdr:to>
      <xdr:col>8</xdr:col>
      <xdr:colOff>712084</xdr:colOff>
      <xdr:row>180</xdr:row>
      <xdr:rowOff>90826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216719-3AD1-B545-BC59-42AFD5113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152</xdr:row>
      <xdr:rowOff>206743</xdr:rowOff>
    </xdr:from>
    <xdr:to>
      <xdr:col>12</xdr:col>
      <xdr:colOff>59070</xdr:colOff>
      <xdr:row>187</xdr:row>
      <xdr:rowOff>44302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959594-12E4-3B44-887B-1D05D3057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nuwildcat-my.sharepoint.com/personal/stn424_ads_northwestern_edu/Documents/Collaborations/Proposals/GO-Barrier,%20TFMI%20Proposals%20with%20Tim%20Wei/URAP_2023-10/Shared/Lanning,%20Mackenzie/graphene-oxide-paper-coatings/HelloFresh_Absorption.xlsx" TargetMode="External"/><Relationship Id="rId2" Type="http://schemas.microsoft.com/office/2019/04/relationships/externalLinkLongPath" Target="/personal/stn424_ads_northwestern_edu/Documents/Collaborations/Proposals/GO-Barrier,%20TFMI%20Proposals%20with%20Tim%20Wei/URAP_2023-10/Shared/Lanning,%20Mackenzie/graphene-oxide-paper-coatings/HelloFresh_Absorption.xlsx?DEEA4308" TargetMode="External"/><Relationship Id="rId1" Type="http://schemas.openxmlformats.org/officeDocument/2006/relationships/externalLinkPath" Target="file:///DEEA4308/HelloFresh_Absorp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rayola Method"/>
      <sheetName val="Boat Method"/>
      <sheetName val="Boat Method (Retest)"/>
      <sheetName val="Metsä EB"/>
      <sheetName val="Absorption for R"/>
      <sheetName val="Formatting for R"/>
      <sheetName val="Figures for R"/>
    </sheetNames>
    <sheetDataSet>
      <sheetData sheetId="0"/>
      <sheetData sheetId="1">
        <row r="129">
          <cell r="C129" t="str">
            <v>Stock @ Room Temp</v>
          </cell>
          <cell r="D129" t="str">
            <v>DI Water @ 100°C</v>
          </cell>
          <cell r="E129" t="str">
            <v xml:space="preserve">0.1% GO @ 100°C </v>
          </cell>
          <cell r="F129" t="str">
            <v>25% WBBC @ 100°C</v>
          </cell>
          <cell r="G129" t="str">
            <v>25% WBBC + 0.1% GO @ 100°C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>
            <v>10</v>
          </cell>
          <cell r="C131">
            <v>0.2944084723827422</v>
          </cell>
          <cell r="D131">
            <v>0.51129507853421308</v>
          </cell>
          <cell r="E131">
            <v>0.38765658120571017</v>
          </cell>
          <cell r="F131">
            <v>0.13836403442827419</v>
          </cell>
          <cell r="G131">
            <v>0.13323378267704167</v>
          </cell>
        </row>
        <row r="132">
          <cell r="B132">
            <v>20</v>
          </cell>
          <cell r="C132">
            <v>0.32496487066958368</v>
          </cell>
          <cell r="D132">
            <v>0.575148702744958</v>
          </cell>
          <cell r="E132">
            <v>0.45881166285729463</v>
          </cell>
          <cell r="F132">
            <v>0.21103594568585438</v>
          </cell>
          <cell r="G132">
            <v>0.19386712090132405</v>
          </cell>
        </row>
        <row r="133">
          <cell r="B133">
            <v>30</v>
          </cell>
          <cell r="C133">
            <v>0.35649131334648354</v>
          </cell>
          <cell r="D133">
            <v>0.62548586635634806</v>
          </cell>
          <cell r="E133">
            <v>0.4865344219423276</v>
          </cell>
          <cell r="F133">
            <v>0.23731279495413199</v>
          </cell>
          <cell r="G133">
            <v>0.21540791211258231</v>
          </cell>
        </row>
        <row r="134">
          <cell r="B134">
            <v>40</v>
          </cell>
          <cell r="C134">
            <v>0.36667677944209737</v>
          </cell>
          <cell r="D134">
            <v>0.62362152696333351</v>
          </cell>
          <cell r="E134">
            <v>0.53320106640213305</v>
          </cell>
          <cell r="F134">
            <v>0.24470315881083501</v>
          </cell>
          <cell r="G134">
            <v>0.2309651502096022</v>
          </cell>
        </row>
        <row r="135">
          <cell r="B135">
            <v>50</v>
          </cell>
          <cell r="C135">
            <v>0.38850277821841261</v>
          </cell>
          <cell r="D135">
            <v>0.65205270270680393</v>
          </cell>
          <cell r="E135">
            <v>0.56369610139566895</v>
          </cell>
          <cell r="F135">
            <v>0.25086179535808761</v>
          </cell>
          <cell r="G135">
            <v>0.23415637853719601</v>
          </cell>
        </row>
        <row r="136">
          <cell r="B136">
            <v>60</v>
          </cell>
          <cell r="C136">
            <v>0.40499353284940642</v>
          </cell>
          <cell r="D136">
            <v>0.65298487240331127</v>
          </cell>
          <cell r="E136">
            <v>0.58448817070944381</v>
          </cell>
          <cell r="F136">
            <v>0.25250409843735494</v>
          </cell>
          <cell r="G136">
            <v>0.24333115997902818</v>
          </cell>
        </row>
        <row r="142">
          <cell r="C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C143">
            <v>9.5627734622863361E-3</v>
          </cell>
          <cell r="E143">
            <v>4.6949868287186766E-2</v>
          </cell>
          <cell r="F143">
            <v>5.7661530307589123E-3</v>
          </cell>
          <cell r="G143">
            <v>1.8531223133912804E-2</v>
          </cell>
        </row>
        <row r="144">
          <cell r="C144">
            <v>1.3590260363414099E-2</v>
          </cell>
          <cell r="E144">
            <v>7.4173658161670319E-2</v>
          </cell>
          <cell r="F144">
            <v>1.1104505748550418E-2</v>
          </cell>
          <cell r="G144">
            <v>1.9256946174855408E-2</v>
          </cell>
        </row>
        <row r="145">
          <cell r="C145">
            <v>1.5740451787141351E-2</v>
          </cell>
          <cell r="E145">
            <v>6.6945924520680308E-2</v>
          </cell>
          <cell r="F145">
            <v>9.2139409800817244E-3</v>
          </cell>
          <cell r="G145">
            <v>1.687904740208173E-2</v>
          </cell>
        </row>
        <row r="146">
          <cell r="C146">
            <v>1.9533386971887765E-2</v>
          </cell>
          <cell r="E146">
            <v>5.9489887170040556E-2</v>
          </cell>
          <cell r="F146">
            <v>6.0127972963679201E-3</v>
          </cell>
          <cell r="G146">
            <v>1.7646865486710461E-2</v>
          </cell>
        </row>
        <row r="147">
          <cell r="C147">
            <v>1.9989303345219721E-2</v>
          </cell>
          <cell r="E147">
            <v>7.1484921233123777E-2</v>
          </cell>
          <cell r="F147">
            <v>7.3421928480699675E-3</v>
          </cell>
          <cell r="G147">
            <v>1.8905629100599442E-2</v>
          </cell>
        </row>
        <row r="148">
          <cell r="C148">
            <v>2.0903630297561517E-2</v>
          </cell>
          <cell r="E148">
            <v>6.372991983639599E-2</v>
          </cell>
          <cell r="F148">
            <v>4.2135572253192803E-3</v>
          </cell>
          <cell r="G148">
            <v>1.775874627156249E-2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26C5-ADDF-EB41-9345-CEFBD5E60506}">
  <dimension ref="A1:I151"/>
  <sheetViews>
    <sheetView topLeftCell="A118" zoomScaleNormal="314" workbookViewId="0">
      <selection activeCell="D142" sqref="D142:H148"/>
    </sheetView>
  </sheetViews>
  <sheetFormatPr baseColWidth="10" defaultRowHeight="16" x14ac:dyDescent="0.2"/>
  <cols>
    <col min="3" max="3" width="18.6640625" customWidth="1"/>
    <col min="4" max="4" width="17.6640625" customWidth="1"/>
    <col min="5" max="5" width="16.6640625" customWidth="1"/>
    <col min="6" max="6" width="17.1640625" customWidth="1"/>
    <col min="7" max="7" width="18.6640625" customWidth="1"/>
    <col min="8" max="8" width="17" customWidth="1"/>
  </cols>
  <sheetData>
    <row r="1" spans="1:9" x14ac:dyDescent="0.2">
      <c r="A1" s="1" t="s">
        <v>7</v>
      </c>
      <c r="B1" s="2"/>
      <c r="C1" s="3"/>
      <c r="D1" s="3"/>
      <c r="E1" s="3"/>
      <c r="F1" s="3"/>
      <c r="G1" s="2"/>
      <c r="H1" s="2"/>
    </row>
    <row r="2" spans="1:9" x14ac:dyDescent="0.2">
      <c r="A2" s="4" t="s">
        <v>0</v>
      </c>
      <c r="B2" s="4"/>
      <c r="C2" s="4"/>
      <c r="D2" s="4"/>
      <c r="E2" s="4"/>
      <c r="F2" s="2"/>
      <c r="G2" s="2"/>
      <c r="H2" s="2"/>
    </row>
    <row r="3" spans="1:9" ht="51" x14ac:dyDescent="0.2">
      <c r="A3" s="2" t="s">
        <v>1</v>
      </c>
      <c r="B3" s="3" t="s">
        <v>2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/>
    </row>
    <row r="4" spans="1:9" x14ac:dyDescent="0.2">
      <c r="A4" s="5">
        <v>1</v>
      </c>
      <c r="B4" s="6">
        <v>0</v>
      </c>
      <c r="C4" s="7">
        <v>0.373</v>
      </c>
      <c r="D4" s="7">
        <v>0.42899999999999999</v>
      </c>
      <c r="E4" s="8">
        <v>0.317</v>
      </c>
      <c r="F4" s="8">
        <v>0.35899999999999999</v>
      </c>
      <c r="G4" s="8">
        <v>0.35199999999999998</v>
      </c>
      <c r="H4" s="8">
        <v>0.38200000000000001</v>
      </c>
      <c r="I4" s="8"/>
    </row>
    <row r="5" spans="1:9" x14ac:dyDescent="0.2">
      <c r="A5" s="5">
        <v>2</v>
      </c>
      <c r="B5" s="6">
        <v>0</v>
      </c>
      <c r="C5" s="7">
        <v>0.378</v>
      </c>
      <c r="D5" s="7">
        <v>0.44400000000000001</v>
      </c>
      <c r="E5" s="8">
        <v>0.371</v>
      </c>
      <c r="F5" s="8">
        <v>0.34599999999999997</v>
      </c>
      <c r="G5" s="8">
        <v>0.35799999999999998</v>
      </c>
      <c r="H5" s="8">
        <v>0.436</v>
      </c>
      <c r="I5" s="8"/>
    </row>
    <row r="6" spans="1:9" x14ac:dyDescent="0.2">
      <c r="A6" s="5">
        <v>3</v>
      </c>
      <c r="B6" s="6">
        <v>0</v>
      </c>
      <c r="C6" s="7">
        <v>0.377</v>
      </c>
      <c r="D6" s="7">
        <v>0.46300000000000002</v>
      </c>
      <c r="E6" s="8">
        <v>0.34799999999999998</v>
      </c>
      <c r="F6" s="8">
        <v>0.38</v>
      </c>
      <c r="G6" s="8">
        <v>0.35299999999999998</v>
      </c>
      <c r="H6" s="8">
        <v>0.40100000000000002</v>
      </c>
      <c r="I6" s="8"/>
    </row>
    <row r="7" spans="1:9" x14ac:dyDescent="0.2">
      <c r="A7" s="5">
        <v>4</v>
      </c>
      <c r="B7" s="6">
        <v>0</v>
      </c>
      <c r="C7" s="7">
        <v>0.38400000000000001</v>
      </c>
      <c r="D7" s="7">
        <v>0.46300000000000002</v>
      </c>
      <c r="E7" s="8">
        <v>0.34499999999999997</v>
      </c>
      <c r="F7" s="8">
        <v>0.374</v>
      </c>
      <c r="G7" s="8">
        <v>0.36699999999999999</v>
      </c>
      <c r="H7" s="8">
        <v>0.41799999999999998</v>
      </c>
      <c r="I7" s="8"/>
    </row>
    <row r="8" spans="1:9" x14ac:dyDescent="0.2">
      <c r="A8" s="5"/>
      <c r="B8" s="6"/>
      <c r="C8" s="7"/>
      <c r="D8" s="7"/>
      <c r="E8" s="8"/>
      <c r="F8" s="8"/>
      <c r="G8" s="8"/>
      <c r="H8" s="8"/>
      <c r="I8" s="8"/>
    </row>
    <row r="9" spans="1:9" x14ac:dyDescent="0.2">
      <c r="A9" s="5"/>
      <c r="B9" s="6"/>
      <c r="E9" s="8"/>
      <c r="F9" s="8"/>
      <c r="G9" s="8"/>
    </row>
    <row r="10" spans="1:9" x14ac:dyDescent="0.2">
      <c r="A10" s="5">
        <v>1</v>
      </c>
      <c r="B10" s="6">
        <v>10</v>
      </c>
      <c r="C10" s="7">
        <v>0.42399999999999999</v>
      </c>
      <c r="D10" s="7">
        <v>0.48599999999999999</v>
      </c>
      <c r="E10" s="8">
        <v>0.36799999999999999</v>
      </c>
      <c r="F10" s="8">
        <v>0.40799999999999997</v>
      </c>
      <c r="G10" s="8">
        <v>0.40699999999999997</v>
      </c>
      <c r="H10" s="8">
        <v>0.437</v>
      </c>
      <c r="I10" s="8"/>
    </row>
    <row r="11" spans="1:9" x14ac:dyDescent="0.2">
      <c r="A11" s="5">
        <v>2</v>
      </c>
      <c r="B11" s="6">
        <v>10</v>
      </c>
      <c r="C11" s="7">
        <v>0.42599999999999999</v>
      </c>
      <c r="D11" s="7">
        <v>0.503</v>
      </c>
      <c r="E11" s="8">
        <v>0.40899999999999997</v>
      </c>
      <c r="F11" s="8">
        <v>0.39300000000000002</v>
      </c>
      <c r="G11" s="8">
        <v>0.41</v>
      </c>
      <c r="H11" s="8">
        <v>0.496</v>
      </c>
      <c r="I11" s="8"/>
    </row>
    <row r="12" spans="1:9" x14ac:dyDescent="0.2">
      <c r="A12" s="5">
        <v>3</v>
      </c>
      <c r="B12" s="6">
        <v>10</v>
      </c>
      <c r="C12" s="7">
        <v>0.42899999999999999</v>
      </c>
      <c r="D12" s="7">
        <v>0.52</v>
      </c>
      <c r="E12" s="8">
        <v>0.39400000000000002</v>
      </c>
      <c r="F12" s="8">
        <v>0.434</v>
      </c>
      <c r="G12" s="8">
        <v>0.40600000000000003</v>
      </c>
      <c r="H12" s="8">
        <v>0.45200000000000001</v>
      </c>
      <c r="I12" s="8"/>
    </row>
    <row r="13" spans="1:9" x14ac:dyDescent="0.2">
      <c r="A13" s="5">
        <v>4</v>
      </c>
      <c r="B13" s="6">
        <v>10</v>
      </c>
      <c r="C13" s="7">
        <v>0.432</v>
      </c>
      <c r="D13" s="7">
        <v>0.52200000000000002</v>
      </c>
      <c r="E13" s="8">
        <v>0.38600000000000001</v>
      </c>
      <c r="F13" s="8">
        <v>0.42799999999999999</v>
      </c>
      <c r="G13" s="8">
        <v>0.41599999999999998</v>
      </c>
      <c r="H13" s="8">
        <v>0.47399999999999998</v>
      </c>
      <c r="I13" s="8"/>
    </row>
    <row r="14" spans="1:9" x14ac:dyDescent="0.2">
      <c r="A14" s="5"/>
      <c r="B14" s="6"/>
      <c r="C14" s="7"/>
      <c r="D14" s="7"/>
      <c r="E14" s="8"/>
      <c r="F14" s="8"/>
      <c r="G14" s="8"/>
      <c r="H14" s="8"/>
      <c r="I14" s="8"/>
    </row>
    <row r="15" spans="1:9" x14ac:dyDescent="0.2">
      <c r="A15" s="5"/>
      <c r="B15" s="6"/>
      <c r="E15" s="8"/>
      <c r="F15" s="8"/>
      <c r="G15" s="8"/>
    </row>
    <row r="16" spans="1:9" x14ac:dyDescent="0.2">
      <c r="A16" s="5">
        <v>1</v>
      </c>
      <c r="B16" s="6">
        <v>20</v>
      </c>
      <c r="C16" s="7">
        <v>0.44400000000000001</v>
      </c>
      <c r="D16" s="7">
        <v>0.50700000000000001</v>
      </c>
      <c r="E16" s="8">
        <v>0.38500000000000001</v>
      </c>
      <c r="F16" s="8">
        <v>0.43</v>
      </c>
      <c r="G16" s="8">
        <v>0.42699999999999999</v>
      </c>
      <c r="H16" s="8">
        <v>0.45700000000000002</v>
      </c>
      <c r="I16" s="8"/>
    </row>
    <row r="17" spans="1:9" x14ac:dyDescent="0.2">
      <c r="A17" s="5">
        <v>2</v>
      </c>
      <c r="B17" s="6">
        <v>20</v>
      </c>
      <c r="C17" s="7">
        <v>0.44</v>
      </c>
      <c r="D17" s="7">
        <v>0.52300000000000002</v>
      </c>
      <c r="E17" s="8">
        <v>0.44</v>
      </c>
      <c r="F17" s="8">
        <v>0.41199999999999998</v>
      </c>
      <c r="G17" s="8">
        <v>0.432</v>
      </c>
      <c r="H17" s="8">
        <v>0.52200000000000002</v>
      </c>
      <c r="I17" s="8"/>
    </row>
    <row r="18" spans="1:9" x14ac:dyDescent="0.2">
      <c r="A18" s="5">
        <v>3</v>
      </c>
      <c r="B18" s="6">
        <v>20</v>
      </c>
      <c r="C18" s="7">
        <v>0.442</v>
      </c>
      <c r="D18" s="7">
        <v>0.54700000000000004</v>
      </c>
      <c r="E18" s="8">
        <v>0.40699999999999997</v>
      </c>
      <c r="F18" s="8">
        <v>0.45800000000000002</v>
      </c>
      <c r="G18" s="8">
        <v>0.42899999999999999</v>
      </c>
      <c r="H18" s="8">
        <v>0.47799999999999998</v>
      </c>
      <c r="I18" s="8"/>
    </row>
    <row r="19" spans="1:9" x14ac:dyDescent="0.2">
      <c r="A19" s="5">
        <v>4</v>
      </c>
      <c r="B19" s="6">
        <v>20</v>
      </c>
      <c r="C19" s="7">
        <v>0.44700000000000001</v>
      </c>
      <c r="D19" s="7">
        <v>0.55300000000000005</v>
      </c>
      <c r="E19" s="8">
        <v>0.40799999999999997</v>
      </c>
      <c r="F19" s="8">
        <v>0.45400000000000001</v>
      </c>
      <c r="G19" s="8">
        <v>0.437</v>
      </c>
      <c r="H19" s="8">
        <v>0.502</v>
      </c>
      <c r="I19" s="8"/>
    </row>
    <row r="20" spans="1:9" x14ac:dyDescent="0.2">
      <c r="A20" s="5"/>
      <c r="B20" s="6"/>
      <c r="C20" s="7"/>
      <c r="D20" s="7"/>
      <c r="E20" s="8"/>
      <c r="F20" s="8"/>
      <c r="G20" s="8"/>
      <c r="H20" s="8"/>
      <c r="I20" s="8"/>
    </row>
    <row r="21" spans="1:9" x14ac:dyDescent="0.2">
      <c r="A21" s="5"/>
      <c r="B21" s="6"/>
      <c r="E21" s="8"/>
      <c r="F21" s="8"/>
      <c r="G21" s="8"/>
    </row>
    <row r="22" spans="1:9" x14ac:dyDescent="0.2">
      <c r="A22" s="5">
        <v>1</v>
      </c>
      <c r="B22" s="6">
        <v>30</v>
      </c>
      <c r="C22" s="7">
        <v>0.45200000000000001</v>
      </c>
      <c r="D22" s="7">
        <v>0.51700000000000002</v>
      </c>
      <c r="E22" s="8">
        <v>0.39100000000000001</v>
      </c>
      <c r="F22" s="8">
        <v>0.438</v>
      </c>
      <c r="G22" s="8">
        <v>0.43</v>
      </c>
      <c r="H22" s="8">
        <v>0.46200000000000002</v>
      </c>
      <c r="I22" s="8"/>
    </row>
    <row r="23" spans="1:9" x14ac:dyDescent="0.2">
      <c r="A23" s="5">
        <v>2</v>
      </c>
      <c r="B23" s="6">
        <v>30</v>
      </c>
      <c r="C23" s="7">
        <v>0.46400000000000002</v>
      </c>
      <c r="D23" s="7">
        <v>0.53900000000000003</v>
      </c>
      <c r="E23" s="8">
        <v>0.44400000000000001</v>
      </c>
      <c r="F23" s="8">
        <v>0.42</v>
      </c>
      <c r="G23" s="8">
        <v>0.436</v>
      </c>
      <c r="H23" s="8">
        <v>0.52800000000000002</v>
      </c>
      <c r="I23" s="8"/>
    </row>
    <row r="24" spans="1:9" x14ac:dyDescent="0.2">
      <c r="A24" s="5">
        <v>3</v>
      </c>
      <c r="B24" s="6">
        <v>30</v>
      </c>
      <c r="C24" s="7">
        <v>0.45700000000000002</v>
      </c>
      <c r="D24" s="7">
        <v>0.55700000000000005</v>
      </c>
      <c r="E24" s="8">
        <v>0.41799999999999998</v>
      </c>
      <c r="F24" s="8">
        <v>0.46500000000000002</v>
      </c>
      <c r="G24" s="8">
        <v>0.433</v>
      </c>
      <c r="H24" s="8">
        <v>0.48399999999999999</v>
      </c>
      <c r="I24" s="8"/>
    </row>
    <row r="25" spans="1:9" x14ac:dyDescent="0.2">
      <c r="A25" s="5">
        <v>4</v>
      </c>
      <c r="B25" s="6">
        <v>30</v>
      </c>
      <c r="C25" s="7">
        <v>0.46300000000000002</v>
      </c>
      <c r="D25" s="7">
        <v>0.56399999999999995</v>
      </c>
      <c r="E25" s="8">
        <v>0.41099999999999998</v>
      </c>
      <c r="F25" s="8">
        <v>0.46</v>
      </c>
      <c r="G25" s="8">
        <v>0.442</v>
      </c>
      <c r="H25" s="8">
        <v>0.51200000000000001</v>
      </c>
      <c r="I25" s="8"/>
    </row>
    <row r="26" spans="1:9" x14ac:dyDescent="0.2">
      <c r="A26" s="5"/>
      <c r="B26" s="6"/>
      <c r="C26" s="7"/>
      <c r="D26" s="7"/>
      <c r="E26" s="8"/>
      <c r="F26" s="8"/>
      <c r="G26" s="8"/>
      <c r="H26" s="8"/>
      <c r="I26" s="8"/>
    </row>
    <row r="27" spans="1:9" x14ac:dyDescent="0.2">
      <c r="A27" s="5"/>
      <c r="B27" s="6"/>
      <c r="E27" s="8"/>
      <c r="F27" s="8"/>
      <c r="G27" s="8"/>
    </row>
    <row r="28" spans="1:9" x14ac:dyDescent="0.2">
      <c r="A28" s="5">
        <v>1</v>
      </c>
      <c r="B28" s="6">
        <v>40</v>
      </c>
      <c r="C28" s="7">
        <v>0.45600000000000002</v>
      </c>
      <c r="D28" s="7">
        <v>0.52</v>
      </c>
      <c r="E28" s="8">
        <v>0.39700000000000002</v>
      </c>
      <c r="F28" s="8">
        <v>0.438</v>
      </c>
      <c r="G28" s="8">
        <v>0.43099999999999999</v>
      </c>
      <c r="H28" s="8">
        <v>0.46400000000000002</v>
      </c>
      <c r="I28" s="8"/>
    </row>
    <row r="29" spans="1:9" x14ac:dyDescent="0.2">
      <c r="A29" s="5">
        <v>2</v>
      </c>
      <c r="B29" s="6">
        <v>40</v>
      </c>
      <c r="C29" s="7">
        <v>0.46600000000000003</v>
      </c>
      <c r="D29" s="7">
        <v>0.54</v>
      </c>
      <c r="E29" s="8">
        <v>0.443</v>
      </c>
      <c r="F29" s="8">
        <v>0.42499999999999999</v>
      </c>
      <c r="G29" s="8">
        <v>0.433</v>
      </c>
      <c r="H29" s="8">
        <v>0.53200000000000003</v>
      </c>
      <c r="I29" s="8"/>
    </row>
    <row r="30" spans="1:9" x14ac:dyDescent="0.2">
      <c r="A30" s="5">
        <v>3</v>
      </c>
      <c r="B30" s="6">
        <v>40</v>
      </c>
      <c r="C30" s="7">
        <v>0.45200000000000001</v>
      </c>
      <c r="D30" s="7">
        <v>0.56200000000000006</v>
      </c>
      <c r="E30" s="8">
        <v>0.41599999999999998</v>
      </c>
      <c r="F30" s="8">
        <v>0.47099999999999997</v>
      </c>
      <c r="G30" s="8">
        <v>0.42899999999999999</v>
      </c>
      <c r="H30" s="8">
        <v>0.48399999999999999</v>
      </c>
      <c r="I30" s="8"/>
    </row>
    <row r="31" spans="1:9" x14ac:dyDescent="0.2">
      <c r="A31" s="5">
        <v>4</v>
      </c>
      <c r="B31" s="6">
        <v>40</v>
      </c>
      <c r="C31" s="7">
        <v>0.46100000000000002</v>
      </c>
      <c r="D31" s="7">
        <v>0.56299999999999994</v>
      </c>
      <c r="E31" s="8">
        <v>0.41299999999999998</v>
      </c>
      <c r="F31" s="8">
        <v>0.46</v>
      </c>
      <c r="G31" s="8">
        <v>0.44600000000000001</v>
      </c>
      <c r="H31" s="8">
        <v>0.50900000000000001</v>
      </c>
      <c r="I31" s="8"/>
    </row>
    <row r="32" spans="1:9" x14ac:dyDescent="0.2">
      <c r="A32" s="5"/>
      <c r="B32" s="6"/>
      <c r="C32" s="7"/>
      <c r="D32" s="7"/>
      <c r="E32" s="8"/>
      <c r="F32" s="8"/>
      <c r="G32" s="8"/>
      <c r="H32" s="8"/>
      <c r="I32" s="8"/>
    </row>
    <row r="33" spans="1:9" x14ac:dyDescent="0.2">
      <c r="A33" s="5"/>
      <c r="B33" s="6"/>
      <c r="E33" s="8"/>
      <c r="F33" s="8"/>
      <c r="G33" s="8"/>
    </row>
    <row r="34" spans="1:9" x14ac:dyDescent="0.2">
      <c r="A34" s="5">
        <v>1</v>
      </c>
      <c r="B34" s="6">
        <v>50</v>
      </c>
      <c r="C34" s="7">
        <v>0.46200000000000002</v>
      </c>
      <c r="D34" s="7">
        <v>0.52100000000000002</v>
      </c>
      <c r="E34" s="8">
        <v>0.39100000000000001</v>
      </c>
      <c r="F34" s="8">
        <v>0.439</v>
      </c>
      <c r="G34" s="8">
        <v>0.43</v>
      </c>
      <c r="H34" s="8">
        <v>0.46400000000000002</v>
      </c>
      <c r="I34" s="8"/>
    </row>
    <row r="35" spans="1:9" x14ac:dyDescent="0.2">
      <c r="A35" s="5">
        <v>2</v>
      </c>
      <c r="B35" s="6">
        <v>50</v>
      </c>
      <c r="C35" s="7">
        <v>0.46400000000000002</v>
      </c>
      <c r="D35" s="7">
        <v>0.54100000000000004</v>
      </c>
      <c r="E35" s="8">
        <v>0.44800000000000001</v>
      </c>
      <c r="F35" s="8">
        <v>0.42499999999999999</v>
      </c>
      <c r="G35" s="8">
        <v>0.437</v>
      </c>
      <c r="H35" s="8">
        <v>0.53200000000000003</v>
      </c>
      <c r="I35" s="8"/>
    </row>
    <row r="36" spans="1:9" x14ac:dyDescent="0.2">
      <c r="A36" s="5">
        <v>3</v>
      </c>
      <c r="B36" s="6">
        <v>50</v>
      </c>
      <c r="C36" s="7">
        <v>0.45600000000000002</v>
      </c>
      <c r="D36" s="7">
        <v>0.56200000000000006</v>
      </c>
      <c r="E36" s="8">
        <v>0.42099999999999999</v>
      </c>
      <c r="F36" s="8">
        <v>0.47399999999999998</v>
      </c>
      <c r="G36" s="8">
        <v>0.433</v>
      </c>
      <c r="H36" s="8">
        <v>0.48599999999999999</v>
      </c>
      <c r="I36" s="8"/>
    </row>
    <row r="37" spans="1:9" x14ac:dyDescent="0.2">
      <c r="A37" s="5">
        <v>4</v>
      </c>
      <c r="B37" s="6">
        <v>50</v>
      </c>
      <c r="C37" s="7">
        <v>0.47</v>
      </c>
      <c r="D37" s="7">
        <v>0.56599999999999995</v>
      </c>
      <c r="E37" s="8">
        <v>0.41799999999999998</v>
      </c>
      <c r="F37" s="8">
        <v>0.46600000000000003</v>
      </c>
      <c r="G37" s="8">
        <v>0.44900000000000001</v>
      </c>
      <c r="H37" s="8">
        <v>0.51100000000000001</v>
      </c>
      <c r="I37" s="8"/>
    </row>
    <row r="38" spans="1:9" x14ac:dyDescent="0.2">
      <c r="A38" s="5"/>
      <c r="B38" s="6"/>
      <c r="C38" s="7"/>
      <c r="D38" s="7"/>
      <c r="E38" s="8"/>
      <c r="F38" s="8"/>
      <c r="G38" s="8"/>
      <c r="H38" s="8"/>
      <c r="I38" s="8"/>
    </row>
    <row r="39" spans="1:9" x14ac:dyDescent="0.2">
      <c r="A39" s="5"/>
      <c r="B39" s="6"/>
      <c r="E39" s="8"/>
      <c r="F39" s="8"/>
      <c r="G39" s="8"/>
    </row>
    <row r="40" spans="1:9" x14ac:dyDescent="0.2">
      <c r="A40" s="5">
        <v>1</v>
      </c>
      <c r="B40" s="6">
        <v>60</v>
      </c>
      <c r="C40" s="7">
        <v>0.45900000000000002</v>
      </c>
      <c r="D40" s="7">
        <v>0.52</v>
      </c>
      <c r="E40" s="8">
        <v>0.38900000000000001</v>
      </c>
      <c r="F40" s="8">
        <v>0.438</v>
      </c>
      <c r="G40" s="8">
        <v>0.42799999999999999</v>
      </c>
      <c r="H40" s="8">
        <v>0.46400000000000002</v>
      </c>
      <c r="I40" s="8"/>
    </row>
    <row r="41" spans="1:9" x14ac:dyDescent="0.2">
      <c r="A41" s="5">
        <v>2</v>
      </c>
      <c r="B41" s="6">
        <v>60</v>
      </c>
      <c r="C41" s="7">
        <v>0.47399999999999998</v>
      </c>
      <c r="D41" s="7">
        <v>0.54100000000000004</v>
      </c>
      <c r="E41" s="8">
        <v>0.44700000000000001</v>
      </c>
      <c r="F41" s="8">
        <v>0.434</v>
      </c>
      <c r="G41" s="8">
        <v>0.439</v>
      </c>
      <c r="H41" s="8">
        <v>0.52900000000000003</v>
      </c>
      <c r="I41" s="8"/>
    </row>
    <row r="42" spans="1:9" x14ac:dyDescent="0.2">
      <c r="A42" s="5">
        <v>3</v>
      </c>
      <c r="B42" s="6">
        <v>60</v>
      </c>
      <c r="C42" s="7">
        <v>0.45600000000000002</v>
      </c>
      <c r="D42" s="7">
        <v>0.56000000000000005</v>
      </c>
      <c r="E42" s="8">
        <v>0.41799999999999998</v>
      </c>
      <c r="F42" s="8">
        <v>0.47499999999999998</v>
      </c>
      <c r="G42" s="8">
        <v>0.434</v>
      </c>
      <c r="H42" s="8">
        <v>0.48699999999999999</v>
      </c>
      <c r="I42" s="8"/>
    </row>
    <row r="43" spans="1:9" x14ac:dyDescent="0.2">
      <c r="A43" s="5">
        <v>4</v>
      </c>
      <c r="B43" s="6">
        <v>60</v>
      </c>
      <c r="C43" s="7">
        <v>0.47199999999999998</v>
      </c>
      <c r="D43" s="7">
        <v>0.56899999999999995</v>
      </c>
      <c r="E43" s="8">
        <v>0.41599999999999998</v>
      </c>
      <c r="F43" s="8">
        <v>0.46899999999999997</v>
      </c>
      <c r="G43" s="8">
        <v>0.44800000000000001</v>
      </c>
      <c r="H43" s="8">
        <v>0.51600000000000001</v>
      </c>
      <c r="I43" s="8"/>
    </row>
    <row r="44" spans="1:9" x14ac:dyDescent="0.2">
      <c r="A44" s="5"/>
      <c r="B44" s="6"/>
      <c r="C44" s="7"/>
      <c r="D44" s="7"/>
      <c r="E44" s="8"/>
      <c r="F44" s="8"/>
      <c r="G44" s="8"/>
      <c r="H44" s="8"/>
      <c r="I44" s="8"/>
    </row>
    <row r="45" spans="1:9" x14ac:dyDescent="0.2">
      <c r="A45" s="5"/>
      <c r="B45" s="6"/>
      <c r="E45" s="9"/>
      <c r="F45" s="9"/>
    </row>
    <row r="46" spans="1:9" x14ac:dyDescent="0.2">
      <c r="A46" s="5"/>
      <c r="B46" s="6"/>
      <c r="C46" s="9"/>
      <c r="D46" s="9"/>
      <c r="E46" s="9"/>
      <c r="F46" s="9"/>
      <c r="G46" s="7"/>
      <c r="H46" s="7"/>
    </row>
    <row r="47" spans="1:9" x14ac:dyDescent="0.2">
      <c r="A47" s="5"/>
      <c r="B47" s="6"/>
      <c r="C47" s="9"/>
      <c r="D47" s="9"/>
      <c r="E47" s="9"/>
      <c r="F47" s="9"/>
      <c r="G47" s="7"/>
      <c r="H47" s="7"/>
    </row>
    <row r="48" spans="1:9" x14ac:dyDescent="0.2">
      <c r="A48" s="5"/>
      <c r="B48" s="6"/>
      <c r="C48" s="9"/>
      <c r="D48" s="9"/>
      <c r="E48" s="9"/>
      <c r="F48" s="9"/>
      <c r="G48" s="7"/>
      <c r="H48" s="7"/>
    </row>
    <row r="49" spans="1:9" x14ac:dyDescent="0.2">
      <c r="A49" s="5"/>
      <c r="B49" s="6"/>
      <c r="C49" s="9"/>
      <c r="D49" s="9"/>
      <c r="E49" s="9"/>
      <c r="F49" s="9"/>
      <c r="G49" s="7"/>
      <c r="H49" s="7"/>
    </row>
    <row r="50" spans="1:9" x14ac:dyDescent="0.2">
      <c r="A50" s="5"/>
      <c r="B50" s="6"/>
      <c r="C50" s="9"/>
      <c r="D50" s="9"/>
      <c r="E50" s="9"/>
      <c r="F50" s="9"/>
      <c r="G50" s="7"/>
      <c r="H50" s="7"/>
    </row>
    <row r="51" spans="1:9" x14ac:dyDescent="0.2">
      <c r="A51" s="5"/>
      <c r="B51" s="6"/>
      <c r="C51" s="6"/>
      <c r="D51" s="6"/>
      <c r="E51" s="6"/>
      <c r="F51" s="6"/>
      <c r="G51" s="5"/>
      <c r="H51" s="5"/>
    </row>
    <row r="52" spans="1:9" x14ac:dyDescent="0.2">
      <c r="A52" s="5"/>
      <c r="B52" s="6"/>
      <c r="C52" s="6"/>
      <c r="D52" s="6"/>
      <c r="E52" s="6"/>
      <c r="F52" s="6"/>
      <c r="G52" s="5"/>
      <c r="H52" s="5"/>
    </row>
    <row r="53" spans="1:9" x14ac:dyDescent="0.2">
      <c r="A53" s="10" t="s">
        <v>3</v>
      </c>
      <c r="B53" s="10"/>
      <c r="C53" s="10"/>
      <c r="D53" s="10"/>
      <c r="E53" s="10"/>
      <c r="F53" s="2"/>
      <c r="G53" s="2"/>
      <c r="H53" s="2"/>
    </row>
    <row r="54" spans="1:9" ht="51" x14ac:dyDescent="0.2">
      <c r="A54" s="2" t="s">
        <v>1</v>
      </c>
      <c r="B54" s="3" t="s">
        <v>2</v>
      </c>
      <c r="C54" s="3" t="s">
        <v>8</v>
      </c>
      <c r="D54" s="3" t="s">
        <v>9</v>
      </c>
      <c r="E54" s="3" t="s">
        <v>10</v>
      </c>
      <c r="F54" s="3" t="s">
        <v>11</v>
      </c>
      <c r="G54" s="3" t="s">
        <v>12</v>
      </c>
      <c r="H54" s="3" t="s">
        <v>13</v>
      </c>
      <c r="I54" s="3"/>
    </row>
    <row r="55" spans="1:9" x14ac:dyDescent="0.2">
      <c r="A55" s="5">
        <v>1</v>
      </c>
      <c r="B55" s="6">
        <v>0</v>
      </c>
      <c r="C55" s="11">
        <f xml:space="preserve"> (C4-C4)/32.258</f>
        <v>0</v>
      </c>
      <c r="D55" s="11">
        <f xml:space="preserve"> (D4-D4)/32.258</f>
        <v>0</v>
      </c>
      <c r="E55" s="11">
        <f xml:space="preserve"> (E4-E4)/32.258</f>
        <v>0</v>
      </c>
      <c r="F55" s="11">
        <f xml:space="preserve"> (F4-F4)/32.258</f>
        <v>0</v>
      </c>
      <c r="G55" s="11">
        <f xml:space="preserve"> (G4-G4)/32.258</f>
        <v>0</v>
      </c>
      <c r="H55" s="11">
        <f xml:space="preserve"> (H4-H4)/32.258</f>
        <v>0</v>
      </c>
      <c r="I55" s="11"/>
    </row>
    <row r="56" spans="1:9" x14ac:dyDescent="0.2">
      <c r="A56" s="5">
        <v>2</v>
      </c>
      <c r="B56" s="6">
        <v>0</v>
      </c>
      <c r="C56" s="11">
        <f xml:space="preserve"> (C5-C5)/32.258</f>
        <v>0</v>
      </c>
      <c r="D56" s="11">
        <f xml:space="preserve"> (D5-D5)/32.258</f>
        <v>0</v>
      </c>
      <c r="E56" s="11">
        <f xml:space="preserve"> (E5-E5)/32.258</f>
        <v>0</v>
      </c>
      <c r="F56" s="11">
        <f xml:space="preserve"> (F5-F5)/32.258</f>
        <v>0</v>
      </c>
      <c r="G56" s="11">
        <f xml:space="preserve"> (G5-G5)/32.258</f>
        <v>0</v>
      </c>
      <c r="H56" s="11">
        <f xml:space="preserve"> (H5-H5)/32.258</f>
        <v>0</v>
      </c>
      <c r="I56" s="11"/>
    </row>
    <row r="57" spans="1:9" x14ac:dyDescent="0.2">
      <c r="A57" s="5">
        <v>3</v>
      </c>
      <c r="B57" s="6">
        <v>0</v>
      </c>
      <c r="C57" s="11">
        <f xml:space="preserve"> (C6-C6)/32.258</f>
        <v>0</v>
      </c>
      <c r="D57" s="11">
        <f xml:space="preserve"> (D6-D6)/32.258</f>
        <v>0</v>
      </c>
      <c r="E57" s="11">
        <f xml:space="preserve"> (E6-E6)/32.258</f>
        <v>0</v>
      </c>
      <c r="F57" s="11">
        <f xml:space="preserve"> (F6-F6)/32.258</f>
        <v>0</v>
      </c>
      <c r="G57" s="11">
        <f xml:space="preserve"> (G6-G6)/32.258</f>
        <v>0</v>
      </c>
      <c r="H57" s="11">
        <f xml:space="preserve"> (H6-H6)/32.258</f>
        <v>0</v>
      </c>
      <c r="I57" s="11"/>
    </row>
    <row r="58" spans="1:9" x14ac:dyDescent="0.2">
      <c r="A58" s="5">
        <v>4</v>
      </c>
      <c r="B58" s="6">
        <v>0</v>
      </c>
      <c r="C58" s="11">
        <f xml:space="preserve"> (C7-C7)/32.258</f>
        <v>0</v>
      </c>
      <c r="D58" s="11">
        <f xml:space="preserve"> (D7-D7)/32.258</f>
        <v>0</v>
      </c>
      <c r="E58" s="11">
        <f xml:space="preserve"> (E7-E7)/32.258</f>
        <v>0</v>
      </c>
      <c r="F58" s="11">
        <f xml:space="preserve"> (F7-F7)/32.258</f>
        <v>0</v>
      </c>
      <c r="G58" s="11">
        <f xml:space="preserve"> (G7-G7)/32.258</f>
        <v>0</v>
      </c>
      <c r="H58" s="11">
        <f xml:space="preserve"> (H7-H7)/32.258</f>
        <v>0</v>
      </c>
      <c r="I58" s="11"/>
    </row>
    <row r="59" spans="1:9" x14ac:dyDescent="0.2">
      <c r="A59" s="5"/>
      <c r="B59" s="6"/>
      <c r="C59" s="11"/>
      <c r="D59" s="11"/>
      <c r="E59" s="11"/>
      <c r="F59" s="11"/>
      <c r="G59" s="11"/>
      <c r="H59" s="11"/>
      <c r="I59" s="11"/>
    </row>
    <row r="60" spans="1:9" x14ac:dyDescent="0.2">
      <c r="A60" s="5"/>
      <c r="B60" s="6"/>
      <c r="C60" s="11"/>
      <c r="D60" s="11"/>
      <c r="E60" s="11"/>
      <c r="F60" s="11"/>
      <c r="G60" s="11"/>
      <c r="H60" s="11"/>
      <c r="I60" s="11"/>
    </row>
    <row r="61" spans="1:9" x14ac:dyDescent="0.2">
      <c r="A61" s="5">
        <v>1</v>
      </c>
      <c r="B61" s="6">
        <v>10</v>
      </c>
      <c r="C61" s="11">
        <f xml:space="preserve"> (C10-C4)/32.258</f>
        <v>1.5810031620063236E-3</v>
      </c>
      <c r="D61" s="11">
        <f xml:space="preserve"> (D10-D4)/32.258</f>
        <v>1.7670035340070678E-3</v>
      </c>
      <c r="E61" s="11">
        <f xml:space="preserve"> (E10-E4)/32.258</f>
        <v>1.5810031620063236E-3</v>
      </c>
      <c r="F61" s="11">
        <f xml:space="preserve"> (F10-F4)/32.258</f>
        <v>1.5190030380060756E-3</v>
      </c>
      <c r="G61" s="11">
        <f xml:space="preserve"> (G10-G4)/32.258</f>
        <v>1.7050034100068196E-3</v>
      </c>
      <c r="H61" s="11">
        <f xml:space="preserve"> (H10-H4)/32.258</f>
        <v>1.7050034100068196E-3</v>
      </c>
      <c r="I61" s="11"/>
    </row>
    <row r="62" spans="1:9" x14ac:dyDescent="0.2">
      <c r="A62" s="5">
        <v>2</v>
      </c>
      <c r="B62" s="6">
        <v>10</v>
      </c>
      <c r="C62" s="11">
        <f xml:space="preserve"> (C11-C5)/32.258</f>
        <v>1.4880029760059514E-3</v>
      </c>
      <c r="D62" s="11">
        <f xml:space="preserve"> (D11-D5)/32.258</f>
        <v>1.8290036580073158E-3</v>
      </c>
      <c r="E62" s="11">
        <f xml:space="preserve"> (E11-E5)/32.258</f>
        <v>1.1780023560047112E-3</v>
      </c>
      <c r="F62" s="11">
        <f xml:space="preserve"> (F11-F5)/32.258</f>
        <v>1.4570029140058291E-3</v>
      </c>
      <c r="G62" s="11">
        <f xml:space="preserve"> (G11-G5)/32.258</f>
        <v>1.6120032240064476E-3</v>
      </c>
      <c r="H62" s="11">
        <f xml:space="preserve"> (H11-H5)/32.258</f>
        <v>1.8600037200074398E-3</v>
      </c>
      <c r="I62" s="11"/>
    </row>
    <row r="63" spans="1:9" x14ac:dyDescent="0.2">
      <c r="A63" s="5">
        <v>3</v>
      </c>
      <c r="B63" s="6">
        <v>10</v>
      </c>
      <c r="C63" s="11">
        <f xml:space="preserve"> (C12-C6)/32.258</f>
        <v>1.6120032240064476E-3</v>
      </c>
      <c r="D63" s="11">
        <f xml:space="preserve"> (D12-D6)/32.258</f>
        <v>1.7670035340070678E-3</v>
      </c>
      <c r="E63" s="11">
        <f xml:space="preserve"> (E12-E6)/32.258</f>
        <v>1.4260028520057051E-3</v>
      </c>
      <c r="F63" s="11">
        <f xml:space="preserve"> (F12-F6)/32.258</f>
        <v>1.6740033480066956E-3</v>
      </c>
      <c r="G63" s="11">
        <f xml:space="preserve"> (G12-G6)/32.258</f>
        <v>1.6430032860065733E-3</v>
      </c>
      <c r="H63" s="11">
        <f xml:space="preserve"> (H12-H6)/32.258</f>
        <v>1.5810031620063236E-3</v>
      </c>
      <c r="I63" s="11"/>
    </row>
    <row r="64" spans="1:9" x14ac:dyDescent="0.2">
      <c r="A64" s="5">
        <v>4</v>
      </c>
      <c r="B64" s="6">
        <v>10</v>
      </c>
      <c r="C64" s="11">
        <f xml:space="preserve"> (C13-C7)/32.258</f>
        <v>1.4880029760059514E-3</v>
      </c>
      <c r="D64" s="11">
        <f xml:space="preserve"> (D13-D7)/32.258</f>
        <v>1.8290036580073158E-3</v>
      </c>
      <c r="E64" s="11">
        <f xml:space="preserve"> (E13-E7)/32.258</f>
        <v>1.2710025420050849E-3</v>
      </c>
      <c r="F64" s="11">
        <f xml:space="preserve"> (F13-F7)/32.258</f>
        <v>1.6740033480066956E-3</v>
      </c>
      <c r="G64" s="11">
        <f xml:space="preserve"> (G13-G7)/32.258</f>
        <v>1.5190030380060756E-3</v>
      </c>
      <c r="H64" s="11">
        <f xml:space="preserve"> (H13-H7)/32.258</f>
        <v>1.7360034720069438E-3</v>
      </c>
      <c r="I64" s="11"/>
    </row>
    <row r="65" spans="1:9" x14ac:dyDescent="0.2">
      <c r="A65" s="5"/>
      <c r="B65" s="6"/>
      <c r="C65" s="11"/>
      <c r="D65" s="11"/>
      <c r="E65" s="11"/>
      <c r="F65" s="11"/>
      <c r="G65" s="11"/>
      <c r="H65" s="11"/>
      <c r="I65" s="11"/>
    </row>
    <row r="66" spans="1:9" x14ac:dyDescent="0.2">
      <c r="A66" s="5"/>
      <c r="B66" s="6"/>
      <c r="C66" s="11"/>
      <c r="D66" s="11"/>
      <c r="E66" s="11"/>
      <c r="F66" s="11"/>
      <c r="G66" s="11"/>
      <c r="H66" s="11"/>
      <c r="I66" s="11"/>
    </row>
    <row r="67" spans="1:9" x14ac:dyDescent="0.2">
      <c r="A67" s="5">
        <v>1</v>
      </c>
      <c r="B67" s="6">
        <v>20</v>
      </c>
      <c r="C67" s="11">
        <f xml:space="preserve"> (C16-C4)/32.258</f>
        <v>2.2010044020088042E-3</v>
      </c>
      <c r="D67" s="11">
        <f xml:space="preserve"> (D16-D4)/32.258</f>
        <v>2.4180048360096722E-3</v>
      </c>
      <c r="E67" s="11">
        <f xml:space="preserve"> (E16-E4)/32.258</f>
        <v>2.1080042160084322E-3</v>
      </c>
      <c r="F67" s="11">
        <f xml:space="preserve"> (F16-F4)/32.258</f>
        <v>2.2010044020088042E-3</v>
      </c>
      <c r="G67" s="11">
        <f xml:space="preserve"> (G16-G4)/32.258</f>
        <v>2.3250046500093002E-3</v>
      </c>
      <c r="H67" s="11">
        <f xml:space="preserve"> (H16-H4)/32.258</f>
        <v>2.3250046500093002E-3</v>
      </c>
      <c r="I67" s="11"/>
    </row>
    <row r="68" spans="1:9" x14ac:dyDescent="0.2">
      <c r="A68" s="5">
        <v>2</v>
      </c>
      <c r="B68" s="6">
        <v>20</v>
      </c>
      <c r="C68" s="11">
        <f xml:space="preserve"> (C17-C5)/32.258</f>
        <v>1.9220038440076878E-3</v>
      </c>
      <c r="D68" s="11">
        <f xml:space="preserve"> (D17-D5)/32.258</f>
        <v>2.4490048980097961E-3</v>
      </c>
      <c r="E68" s="11">
        <f xml:space="preserve"> (E17-E5)/32.258</f>
        <v>2.1390042780085562E-3</v>
      </c>
      <c r="F68" s="11">
        <f xml:space="preserve"> (F17-F5)/32.258</f>
        <v>2.0460040920081838E-3</v>
      </c>
      <c r="G68" s="11">
        <f xml:space="preserve"> (G17-G5)/32.258</f>
        <v>2.2940045880091762E-3</v>
      </c>
      <c r="H68" s="11">
        <f xml:space="preserve"> (H17-H5)/32.258</f>
        <v>2.6660053320106646E-3</v>
      </c>
      <c r="I68" s="11"/>
    </row>
    <row r="69" spans="1:9" x14ac:dyDescent="0.2">
      <c r="A69" s="5">
        <v>3</v>
      </c>
      <c r="B69" s="6">
        <v>20</v>
      </c>
      <c r="C69" s="11">
        <f xml:space="preserve"> (C18-C6)/32.258</f>
        <v>2.0150040300080598E-3</v>
      </c>
      <c r="D69" s="11">
        <f xml:space="preserve"> (D18-D6)/32.258</f>
        <v>2.6040052080104166E-3</v>
      </c>
      <c r="E69" s="11">
        <f xml:space="preserve"> (E18-E6)/32.258</f>
        <v>1.8290036580073158E-3</v>
      </c>
      <c r="F69" s="11">
        <f xml:space="preserve"> (F18-F6)/32.258</f>
        <v>2.4180048360096722E-3</v>
      </c>
      <c r="G69" s="11">
        <f xml:space="preserve"> (G18-G6)/32.258</f>
        <v>2.3560047120094242E-3</v>
      </c>
      <c r="H69" s="11">
        <f xml:space="preserve"> (H18-H6)/32.258</f>
        <v>2.3870047740095464E-3</v>
      </c>
      <c r="I69" s="11"/>
    </row>
    <row r="70" spans="1:9" x14ac:dyDescent="0.2">
      <c r="A70" s="5">
        <v>4</v>
      </c>
      <c r="B70" s="6">
        <v>20</v>
      </c>
      <c r="C70" s="11">
        <f xml:space="preserve"> (C19-C7)/32.258</f>
        <v>1.9530039060078118E-3</v>
      </c>
      <c r="D70" s="11">
        <f xml:space="preserve"> (D19-D7)/32.258</f>
        <v>2.7900055800111605E-3</v>
      </c>
      <c r="E70" s="11">
        <f xml:space="preserve"> (E19-E7)/32.258</f>
        <v>1.9530039060078118E-3</v>
      </c>
      <c r="F70" s="11">
        <f xml:space="preserve"> (F19-F7)/32.258</f>
        <v>2.4800049600099201E-3</v>
      </c>
      <c r="G70" s="11">
        <f xml:space="preserve"> (G19-G7)/32.258</f>
        <v>2.1700043400086802E-3</v>
      </c>
      <c r="H70" s="11">
        <f xml:space="preserve"> (H19-H7)/32.258</f>
        <v>2.6040052080104166E-3</v>
      </c>
      <c r="I70" s="11"/>
    </row>
    <row r="71" spans="1:9" x14ac:dyDescent="0.2">
      <c r="A71" s="5"/>
      <c r="B71" s="6"/>
      <c r="C71" s="11"/>
      <c r="D71" s="11"/>
      <c r="E71" s="11"/>
      <c r="F71" s="11"/>
      <c r="G71" s="11"/>
      <c r="H71" s="11"/>
      <c r="I71" s="11"/>
    </row>
    <row r="72" spans="1:9" x14ac:dyDescent="0.2">
      <c r="A72" s="5"/>
      <c r="B72" s="6"/>
      <c r="C72" s="11"/>
      <c r="D72" s="11"/>
      <c r="E72" s="11"/>
      <c r="F72" s="11"/>
      <c r="G72" s="11"/>
      <c r="H72" s="11"/>
      <c r="I72" s="11"/>
    </row>
    <row r="73" spans="1:9" x14ac:dyDescent="0.2">
      <c r="A73" s="5">
        <v>1</v>
      </c>
      <c r="B73" s="6">
        <v>30</v>
      </c>
      <c r="C73" s="11">
        <f xml:space="preserve"> (C22-C4)/32.258</f>
        <v>2.4490048980097961E-3</v>
      </c>
      <c r="D73" s="11">
        <f xml:space="preserve"> (D22-D4)/32.258</f>
        <v>2.7280054560109126E-3</v>
      </c>
      <c r="E73" s="11">
        <f xml:space="preserve"> (E22-E4)/32.258</f>
        <v>2.2940045880091762E-3</v>
      </c>
      <c r="F73" s="11">
        <f xml:space="preserve"> (F22-F4)/32.258</f>
        <v>2.4490048980097961E-3</v>
      </c>
      <c r="G73" s="11">
        <f xml:space="preserve"> (G22-G4)/32.258</f>
        <v>2.4180048360096722E-3</v>
      </c>
      <c r="H73" s="11">
        <f xml:space="preserve"> (H22-H4)/32.258</f>
        <v>2.4800049600099201E-3</v>
      </c>
      <c r="I73" s="11"/>
    </row>
    <row r="74" spans="1:9" x14ac:dyDescent="0.2">
      <c r="A74" s="5">
        <v>2</v>
      </c>
      <c r="B74" s="6">
        <v>30</v>
      </c>
      <c r="C74" s="11">
        <f xml:space="preserve"> (C23-C5)/32.258</f>
        <v>2.6660053320106646E-3</v>
      </c>
      <c r="D74" s="11">
        <f xml:space="preserve"> (D23-D5)/32.258</f>
        <v>2.9450058900117805E-3</v>
      </c>
      <c r="E74" s="11">
        <f xml:space="preserve"> (E23-E5)/32.258</f>
        <v>2.2630045260090522E-3</v>
      </c>
      <c r="F74" s="11">
        <f xml:space="preserve"> (F23-F5)/32.258</f>
        <v>2.2940045880091762E-3</v>
      </c>
      <c r="G74" s="11">
        <f xml:space="preserve"> (G23-G5)/32.258</f>
        <v>2.4180048360096722E-3</v>
      </c>
      <c r="H74" s="11">
        <f xml:space="preserve"> (H23-H5)/32.258</f>
        <v>2.8520057040114085E-3</v>
      </c>
      <c r="I74" s="11"/>
    </row>
    <row r="75" spans="1:9" x14ac:dyDescent="0.2">
      <c r="A75" s="5">
        <v>3</v>
      </c>
      <c r="B75" s="6">
        <v>30</v>
      </c>
      <c r="C75" s="11">
        <f t="shared" ref="C73:I77" si="0" xml:space="preserve"> (C24-C6)/32.258</f>
        <v>2.4800049600099201E-3</v>
      </c>
      <c r="D75" s="11">
        <f t="shared" ref="D75:H75" si="1" xml:space="preserve"> (D24-D6)/32.258</f>
        <v>2.9140058280116565E-3</v>
      </c>
      <c r="E75" s="11">
        <f t="shared" si="1"/>
        <v>2.1700043400086802E-3</v>
      </c>
      <c r="F75" s="11">
        <f t="shared" si="1"/>
        <v>2.6350052700105406E-3</v>
      </c>
      <c r="G75" s="11">
        <f t="shared" si="1"/>
        <v>2.4800049600099201E-3</v>
      </c>
      <c r="H75" s="11">
        <f t="shared" si="1"/>
        <v>2.5730051460102908E-3</v>
      </c>
      <c r="I75" s="11"/>
    </row>
    <row r="76" spans="1:9" x14ac:dyDescent="0.2">
      <c r="A76" s="5">
        <v>4</v>
      </c>
      <c r="B76" s="6">
        <v>30</v>
      </c>
      <c r="C76" s="11">
        <f t="shared" si="0"/>
        <v>2.4490048980097961E-3</v>
      </c>
      <c r="D76" s="11">
        <f t="shared" ref="D76:H76" si="2" xml:space="preserve"> (D25-D7)/32.258</f>
        <v>3.1310062620125215E-3</v>
      </c>
      <c r="E76" s="11">
        <f t="shared" si="2"/>
        <v>2.0460040920081838E-3</v>
      </c>
      <c r="F76" s="11">
        <f t="shared" si="2"/>
        <v>2.6660053320106646E-3</v>
      </c>
      <c r="G76" s="11">
        <f t="shared" si="2"/>
        <v>2.3250046500093002E-3</v>
      </c>
      <c r="H76" s="11">
        <f t="shared" si="2"/>
        <v>2.9140058280116565E-3</v>
      </c>
      <c r="I76" s="11"/>
    </row>
    <row r="77" spans="1:9" x14ac:dyDescent="0.2">
      <c r="A77" s="5"/>
      <c r="B77" s="6"/>
      <c r="C77" s="11"/>
      <c r="D77" s="11"/>
      <c r="E77" s="11"/>
      <c r="F77" s="11"/>
      <c r="G77" s="11"/>
      <c r="H77" s="11"/>
      <c r="I77" s="11"/>
    </row>
    <row r="78" spans="1:9" x14ac:dyDescent="0.2">
      <c r="A78" s="5"/>
      <c r="B78" s="6"/>
      <c r="C78" s="11"/>
      <c r="D78" s="11"/>
      <c r="E78" s="11"/>
      <c r="F78" s="11"/>
      <c r="G78" s="11"/>
      <c r="H78" s="11"/>
      <c r="I78" s="11"/>
    </row>
    <row r="79" spans="1:9" x14ac:dyDescent="0.2">
      <c r="A79" s="5">
        <v>1</v>
      </c>
      <c r="B79" s="6">
        <v>40</v>
      </c>
      <c r="C79" s="11">
        <f t="shared" ref="C79:I83" si="3" xml:space="preserve"> (C28-C4)/32.258</f>
        <v>2.5730051460102926E-3</v>
      </c>
      <c r="D79" s="11">
        <f t="shared" ref="D79:H79" si="4" xml:space="preserve"> (D28-D4)/32.258</f>
        <v>2.8210056420112845E-3</v>
      </c>
      <c r="E79" s="11">
        <f t="shared" si="4"/>
        <v>2.4800049600099201E-3</v>
      </c>
      <c r="F79" s="11">
        <f t="shared" si="4"/>
        <v>2.4490048980097961E-3</v>
      </c>
      <c r="G79" s="11">
        <f t="shared" si="4"/>
        <v>2.4490048980097961E-3</v>
      </c>
      <c r="H79" s="11">
        <f t="shared" si="4"/>
        <v>2.5420050840101681E-3</v>
      </c>
      <c r="I79" s="11"/>
    </row>
    <row r="80" spans="1:9" x14ac:dyDescent="0.2">
      <c r="A80" s="5">
        <v>2</v>
      </c>
      <c r="B80" s="6">
        <v>40</v>
      </c>
      <c r="C80" s="11">
        <f t="shared" si="3"/>
        <v>2.7280054560109126E-3</v>
      </c>
      <c r="D80" s="11">
        <f t="shared" ref="D80:H80" si="5" xml:space="preserve"> (D29-D5)/32.258</f>
        <v>2.9760059520119045E-3</v>
      </c>
      <c r="E80" s="11">
        <f t="shared" si="5"/>
        <v>2.2320044640089282E-3</v>
      </c>
      <c r="F80" s="11">
        <f t="shared" si="5"/>
        <v>2.4490048980097961E-3</v>
      </c>
      <c r="G80" s="11">
        <f t="shared" si="5"/>
        <v>2.3250046500093002E-3</v>
      </c>
      <c r="H80" s="11">
        <f t="shared" si="5"/>
        <v>2.9760059520119045E-3</v>
      </c>
      <c r="I80" s="11"/>
    </row>
    <row r="81" spans="1:9" x14ac:dyDescent="0.2">
      <c r="A81" s="5">
        <v>3</v>
      </c>
      <c r="B81" s="6">
        <v>40</v>
      </c>
      <c r="C81" s="11">
        <f t="shared" si="3"/>
        <v>2.3250046500093002E-3</v>
      </c>
      <c r="D81" s="11">
        <f t="shared" ref="D81:H81" si="6" xml:space="preserve"> (D30-D6)/32.258</f>
        <v>3.0690061380122769E-3</v>
      </c>
      <c r="E81" s="11">
        <f t="shared" si="6"/>
        <v>2.1080042160084322E-3</v>
      </c>
      <c r="F81" s="11">
        <f t="shared" si="6"/>
        <v>2.8210056420112828E-3</v>
      </c>
      <c r="G81" s="11">
        <f t="shared" si="6"/>
        <v>2.3560047120094242E-3</v>
      </c>
      <c r="H81" s="11">
        <f t="shared" si="6"/>
        <v>2.5730051460102908E-3</v>
      </c>
      <c r="I81" s="11"/>
    </row>
    <row r="82" spans="1:9" x14ac:dyDescent="0.2">
      <c r="A82" s="5">
        <v>4</v>
      </c>
      <c r="B82" s="6">
        <v>40</v>
      </c>
      <c r="C82" s="11">
        <f t="shared" si="3"/>
        <v>2.3870047740095482E-3</v>
      </c>
      <c r="D82" s="11">
        <f t="shared" ref="D82:H82" si="7" xml:space="preserve"> (D31-D7)/32.258</f>
        <v>3.1000062000123975E-3</v>
      </c>
      <c r="E82" s="11">
        <f t="shared" si="7"/>
        <v>2.1080042160084322E-3</v>
      </c>
      <c r="F82" s="11">
        <f t="shared" si="7"/>
        <v>2.6660053320106646E-3</v>
      </c>
      <c r="G82" s="11">
        <f t="shared" si="7"/>
        <v>2.4490048980097961E-3</v>
      </c>
      <c r="H82" s="11">
        <f t="shared" si="7"/>
        <v>2.8210056420112845E-3</v>
      </c>
      <c r="I82" s="11"/>
    </row>
    <row r="83" spans="1:9" x14ac:dyDescent="0.2">
      <c r="A83" s="5"/>
      <c r="B83" s="6"/>
      <c r="C83" s="11"/>
      <c r="D83" s="11"/>
      <c r="E83" s="11"/>
      <c r="F83" s="11"/>
      <c r="G83" s="11"/>
      <c r="H83" s="11"/>
      <c r="I83" s="11"/>
    </row>
    <row r="84" spans="1:9" x14ac:dyDescent="0.2">
      <c r="A84" s="5"/>
      <c r="B84" s="6"/>
      <c r="C84" s="11"/>
      <c r="D84" s="11"/>
      <c r="E84" s="11"/>
      <c r="F84" s="11"/>
      <c r="G84" s="11"/>
      <c r="H84" s="11"/>
      <c r="I84" s="11"/>
    </row>
    <row r="85" spans="1:9" x14ac:dyDescent="0.2">
      <c r="A85" s="5">
        <v>1</v>
      </c>
      <c r="B85" s="6">
        <v>50</v>
      </c>
      <c r="C85" s="11">
        <f t="shared" ref="C85:I89" si="8" xml:space="preserve"> (C34-C4)/32.258</f>
        <v>2.7590055180110365E-3</v>
      </c>
      <c r="D85" s="11">
        <f t="shared" ref="D85:H85" si="9" xml:space="preserve"> (D34-D4)/32.258</f>
        <v>2.8520057040114085E-3</v>
      </c>
      <c r="E85" s="11">
        <f t="shared" si="9"/>
        <v>2.2940045880091762E-3</v>
      </c>
      <c r="F85" s="11">
        <f t="shared" si="9"/>
        <v>2.4800049600099201E-3</v>
      </c>
      <c r="G85" s="11">
        <f t="shared" si="9"/>
        <v>2.4180048360096722E-3</v>
      </c>
      <c r="H85" s="11">
        <f t="shared" si="9"/>
        <v>2.5420050840101681E-3</v>
      </c>
      <c r="I85" s="11"/>
    </row>
    <row r="86" spans="1:9" x14ac:dyDescent="0.2">
      <c r="A86" s="5">
        <v>2</v>
      </c>
      <c r="B86" s="6">
        <v>50</v>
      </c>
      <c r="C86" s="11">
        <f xml:space="preserve"> (C35-C5)/32.258</f>
        <v>2.6660053320106646E-3</v>
      </c>
      <c r="D86" s="11">
        <f xml:space="preserve"> (D35-D5)/32.258</f>
        <v>3.0070060140120285E-3</v>
      </c>
      <c r="E86" s="11">
        <f xml:space="preserve"> (E35-E5)/32.258</f>
        <v>2.3870047740095482E-3</v>
      </c>
      <c r="F86" s="11">
        <f xml:space="preserve"> (F35-F5)/32.258</f>
        <v>2.4490048980097961E-3</v>
      </c>
      <c r="G86" s="11">
        <f xml:space="preserve"> (G35-G5)/32.258</f>
        <v>2.4490048980097961E-3</v>
      </c>
      <c r="H86" s="11">
        <f xml:space="preserve"> (H35-H5)/32.258</f>
        <v>2.9760059520119045E-3</v>
      </c>
      <c r="I86" s="11"/>
    </row>
    <row r="87" spans="1:9" x14ac:dyDescent="0.2">
      <c r="A87" s="5">
        <v>3</v>
      </c>
      <c r="B87" s="6">
        <v>50</v>
      </c>
      <c r="C87" s="11">
        <f t="shared" si="8"/>
        <v>2.4490048980097961E-3</v>
      </c>
      <c r="D87" s="11">
        <f t="shared" ref="D87:H87" si="10" xml:space="preserve"> (D36-D6)/32.258</f>
        <v>3.0690061380122769E-3</v>
      </c>
      <c r="E87" s="11">
        <f t="shared" si="10"/>
        <v>2.2630045260090522E-3</v>
      </c>
      <c r="F87" s="11">
        <f t="shared" si="10"/>
        <v>2.9140058280116548E-3</v>
      </c>
      <c r="G87" s="11">
        <f t="shared" si="10"/>
        <v>2.4800049600099201E-3</v>
      </c>
      <c r="H87" s="11">
        <f t="shared" si="10"/>
        <v>2.6350052700105388E-3</v>
      </c>
      <c r="I87" s="11"/>
    </row>
    <row r="88" spans="1:9" x14ac:dyDescent="0.2">
      <c r="A88" s="5">
        <v>4</v>
      </c>
      <c r="B88" s="6">
        <v>50</v>
      </c>
      <c r="C88" s="11">
        <f t="shared" si="8"/>
        <v>2.6660053320106628E-3</v>
      </c>
      <c r="D88" s="11">
        <f t="shared" ref="D88:H88" si="11" xml:space="preserve"> (D37-D7)/32.258</f>
        <v>3.1930063860127695E-3</v>
      </c>
      <c r="E88" s="11">
        <f t="shared" si="11"/>
        <v>2.2630045260090522E-3</v>
      </c>
      <c r="F88" s="11">
        <f t="shared" si="11"/>
        <v>2.8520057040114085E-3</v>
      </c>
      <c r="G88" s="11">
        <f t="shared" si="11"/>
        <v>2.5420050840101681E-3</v>
      </c>
      <c r="H88" s="11">
        <f t="shared" si="11"/>
        <v>2.8830057660115325E-3</v>
      </c>
      <c r="I88" s="11"/>
    </row>
    <row r="89" spans="1:9" x14ac:dyDescent="0.2">
      <c r="A89" s="5"/>
      <c r="B89" s="6"/>
      <c r="C89" s="11"/>
      <c r="D89" s="11"/>
      <c r="E89" s="11"/>
      <c r="F89" s="11"/>
      <c r="G89" s="11"/>
      <c r="H89" s="11"/>
      <c r="I89" s="11"/>
    </row>
    <row r="90" spans="1:9" x14ac:dyDescent="0.2">
      <c r="A90" s="5"/>
      <c r="B90" s="6"/>
      <c r="C90" s="11"/>
      <c r="D90" s="11"/>
      <c r="E90" s="11"/>
      <c r="F90" s="11"/>
      <c r="G90" s="11"/>
      <c r="H90" s="11"/>
      <c r="I90" s="11"/>
    </row>
    <row r="91" spans="1:9" x14ac:dyDescent="0.2">
      <c r="A91" s="5">
        <v>1</v>
      </c>
      <c r="B91" s="6">
        <v>60</v>
      </c>
      <c r="C91" s="11">
        <f xml:space="preserve"> (C40-C4)/32.258</f>
        <v>2.6660053320106646E-3</v>
      </c>
      <c r="D91" s="11">
        <f xml:space="preserve"> (D40-D4)/32.258</f>
        <v>2.8210056420112845E-3</v>
      </c>
      <c r="E91" s="11">
        <f xml:space="preserve"> (E40-E4)/32.258</f>
        <v>2.2320044640089282E-3</v>
      </c>
      <c r="F91" s="11">
        <f xml:space="preserve"> (F40-F4)/32.258</f>
        <v>2.4490048980097961E-3</v>
      </c>
      <c r="G91" s="11">
        <f xml:space="preserve"> (G40-G4)/32.258</f>
        <v>2.3560047120094242E-3</v>
      </c>
      <c r="H91" s="11">
        <f xml:space="preserve"> (H40-H4)/32.258</f>
        <v>2.5420050840101681E-3</v>
      </c>
      <c r="I91" s="11"/>
    </row>
    <row r="92" spans="1:9" x14ac:dyDescent="0.2">
      <c r="A92" s="5">
        <v>2</v>
      </c>
      <c r="B92" s="6">
        <v>60</v>
      </c>
      <c r="C92" s="11">
        <f t="shared" ref="C91:I95" si="12" xml:space="preserve"> (C41-C5)/32.258</f>
        <v>2.9760059520119028E-3</v>
      </c>
      <c r="D92" s="11">
        <f t="shared" ref="D92:H92" si="13" xml:space="preserve"> (D41-D5)/32.258</f>
        <v>3.0070060140120285E-3</v>
      </c>
      <c r="E92" s="11">
        <f t="shared" si="13"/>
        <v>2.3560047120094242E-3</v>
      </c>
      <c r="F92" s="11">
        <f t="shared" si="13"/>
        <v>2.7280054560109126E-3</v>
      </c>
      <c r="G92" s="11">
        <f t="shared" si="13"/>
        <v>2.5110050220100441E-3</v>
      </c>
      <c r="H92" s="11">
        <f t="shared" si="13"/>
        <v>2.8830057660115325E-3</v>
      </c>
      <c r="I92" s="11"/>
    </row>
    <row r="93" spans="1:9" x14ac:dyDescent="0.2">
      <c r="A93" s="5">
        <v>3</v>
      </c>
      <c r="B93" s="6">
        <v>60</v>
      </c>
      <c r="C93" s="11">
        <f t="shared" si="12"/>
        <v>2.4490048980097961E-3</v>
      </c>
      <c r="D93" s="11">
        <f t="shared" ref="D93:H93" si="14" xml:space="preserve"> (D42-D6)/32.258</f>
        <v>3.0070060140120285E-3</v>
      </c>
      <c r="E93" s="11">
        <f t="shared" si="14"/>
        <v>2.1700043400086802E-3</v>
      </c>
      <c r="F93" s="11">
        <f t="shared" si="14"/>
        <v>2.9450058900117788E-3</v>
      </c>
      <c r="G93" s="11">
        <f t="shared" si="14"/>
        <v>2.5110050220100441E-3</v>
      </c>
      <c r="H93" s="11">
        <f t="shared" si="14"/>
        <v>2.6660053320106628E-3</v>
      </c>
      <c r="I93" s="11"/>
    </row>
    <row r="94" spans="1:9" x14ac:dyDescent="0.2">
      <c r="A94" s="5">
        <v>4</v>
      </c>
      <c r="B94" s="6">
        <v>60</v>
      </c>
      <c r="C94" s="11">
        <f t="shared" si="12"/>
        <v>2.7280054560109108E-3</v>
      </c>
      <c r="D94" s="11">
        <f t="shared" ref="D94:H94" si="15" xml:space="preserve"> (D43-D7)/32.258</f>
        <v>3.2860065720131415E-3</v>
      </c>
      <c r="E94" s="11">
        <f t="shared" si="15"/>
        <v>2.2010044020088042E-3</v>
      </c>
      <c r="F94" s="11">
        <f t="shared" si="15"/>
        <v>2.9450058900117788E-3</v>
      </c>
      <c r="G94" s="11">
        <f t="shared" si="15"/>
        <v>2.5110050220100441E-3</v>
      </c>
      <c r="H94" s="11">
        <f t="shared" si="15"/>
        <v>3.0380060760121529E-3</v>
      </c>
      <c r="I94" s="11"/>
    </row>
    <row r="95" spans="1:9" x14ac:dyDescent="0.2">
      <c r="A95" s="5"/>
      <c r="B95" s="6"/>
      <c r="C95" s="11"/>
      <c r="D95" s="11"/>
      <c r="E95" s="11"/>
      <c r="F95" s="11"/>
      <c r="G95" s="11"/>
      <c r="H95" s="11"/>
      <c r="I95" s="11"/>
    </row>
    <row r="96" spans="1:9" x14ac:dyDescent="0.2">
      <c r="A96" s="5"/>
      <c r="B96" s="6"/>
      <c r="C96" s="11"/>
      <c r="D96" s="11"/>
      <c r="E96" s="11"/>
      <c r="F96" s="11"/>
      <c r="G96" s="11"/>
      <c r="H96" s="11"/>
    </row>
    <row r="97" spans="1:9" x14ac:dyDescent="0.2">
      <c r="A97" s="5"/>
      <c r="B97" s="6"/>
      <c r="C97" s="11"/>
      <c r="D97" s="11"/>
      <c r="E97" s="11"/>
      <c r="F97" s="11"/>
      <c r="G97" s="11"/>
      <c r="H97" s="11"/>
    </row>
    <row r="98" spans="1:9" x14ac:dyDescent="0.2">
      <c r="A98" s="5"/>
      <c r="B98" s="6"/>
      <c r="C98" s="11"/>
      <c r="D98" s="11"/>
      <c r="E98" s="11"/>
      <c r="F98" s="11"/>
      <c r="G98" s="11"/>
      <c r="H98" s="11"/>
    </row>
    <row r="99" spans="1:9" x14ac:dyDescent="0.2">
      <c r="A99" s="5"/>
      <c r="B99" s="6"/>
      <c r="C99" s="11"/>
      <c r="D99" s="11"/>
      <c r="E99" s="11"/>
      <c r="F99" s="11"/>
      <c r="G99" s="11"/>
      <c r="H99" s="11"/>
    </row>
    <row r="100" spans="1:9" x14ac:dyDescent="0.2">
      <c r="A100" s="5"/>
      <c r="B100" s="6"/>
      <c r="C100" s="11"/>
      <c r="D100" s="11"/>
      <c r="E100" s="11"/>
      <c r="F100" s="11"/>
      <c r="G100" s="11"/>
      <c r="H100" s="11"/>
    </row>
    <row r="101" spans="1:9" x14ac:dyDescent="0.2">
      <c r="A101" s="5"/>
      <c r="B101" s="6"/>
      <c r="C101" s="11"/>
      <c r="D101" s="11"/>
      <c r="E101" s="11"/>
      <c r="F101" s="11"/>
      <c r="G101" s="11"/>
      <c r="H101" s="11"/>
    </row>
    <row r="102" spans="1:9" x14ac:dyDescent="0.2">
      <c r="A102" s="5"/>
      <c r="B102" s="6"/>
      <c r="C102" s="6"/>
      <c r="D102" s="6"/>
      <c r="E102" s="6"/>
      <c r="F102" s="6"/>
      <c r="G102" s="5"/>
      <c r="H102" s="5"/>
    </row>
    <row r="103" spans="1:9" x14ac:dyDescent="0.2">
      <c r="A103" s="5"/>
      <c r="B103" s="6"/>
      <c r="C103" s="6"/>
      <c r="D103" s="6"/>
      <c r="E103" s="6"/>
      <c r="F103" s="6"/>
      <c r="G103" s="5"/>
      <c r="H103" s="5"/>
    </row>
    <row r="104" spans="1:9" x14ac:dyDescent="0.2">
      <c r="A104" s="12" t="s">
        <v>4</v>
      </c>
      <c r="B104" s="12"/>
      <c r="C104" s="3"/>
      <c r="D104" s="3"/>
      <c r="E104" s="3"/>
      <c r="F104" s="2"/>
      <c r="G104" s="2"/>
      <c r="H104" s="2"/>
    </row>
    <row r="105" spans="1:9" ht="51" x14ac:dyDescent="0.2">
      <c r="A105" s="2"/>
      <c r="B105" s="3" t="s">
        <v>2</v>
      </c>
      <c r="C105" s="3" t="s">
        <v>8</v>
      </c>
      <c r="D105" s="3" t="s">
        <v>9</v>
      </c>
      <c r="E105" s="3" t="s">
        <v>10</v>
      </c>
      <c r="F105" s="3" t="s">
        <v>11</v>
      </c>
      <c r="G105" s="3" t="s">
        <v>12</v>
      </c>
      <c r="H105" s="3" t="s">
        <v>13</v>
      </c>
      <c r="I105" s="3"/>
    </row>
    <row r="106" spans="1:9" x14ac:dyDescent="0.2">
      <c r="A106" s="5"/>
      <c r="B106" s="6">
        <v>0</v>
      </c>
      <c r="C106" s="13">
        <f xml:space="preserve"> AVERAGE(C55:C59)*10000</f>
        <v>0</v>
      </c>
      <c r="D106" s="13">
        <f t="shared" ref="C106:I106" si="16" xml:space="preserve"> AVERAGE(D55:D59)*10000</f>
        <v>0</v>
      </c>
      <c r="E106" s="13">
        <f t="shared" si="16"/>
        <v>0</v>
      </c>
      <c r="F106" s="13">
        <f t="shared" si="16"/>
        <v>0</v>
      </c>
      <c r="G106" s="13">
        <f t="shared" si="16"/>
        <v>0</v>
      </c>
      <c r="H106" s="13">
        <f t="shared" si="16"/>
        <v>0</v>
      </c>
      <c r="I106" s="13"/>
    </row>
    <row r="107" spans="1:9" x14ac:dyDescent="0.2">
      <c r="A107" s="5"/>
      <c r="B107" s="6">
        <v>10</v>
      </c>
      <c r="C107" s="13">
        <f xml:space="preserve"> AVERAGE(C61:C65)*10000</f>
        <v>15.422530845061685</v>
      </c>
      <c r="D107" s="13">
        <f t="shared" ref="C107:I107" si="17" xml:space="preserve"> AVERAGE(D61:D65)*10000</f>
        <v>17.980035960071916</v>
      </c>
      <c r="E107" s="13">
        <f t="shared" si="17"/>
        <v>13.640027280054563</v>
      </c>
      <c r="F107" s="13">
        <f t="shared" si="17"/>
        <v>15.81003162006324</v>
      </c>
      <c r="G107" s="13">
        <f t="shared" si="17"/>
        <v>16.19753239506479</v>
      </c>
      <c r="H107" s="13">
        <f t="shared" si="17"/>
        <v>17.205034410068816</v>
      </c>
      <c r="I107" s="13"/>
    </row>
    <row r="108" spans="1:9" x14ac:dyDescent="0.2">
      <c r="A108" s="5"/>
      <c r="B108" s="6">
        <v>20</v>
      </c>
      <c r="C108" s="13">
        <f xml:space="preserve"> AVERAGE(C67:C71)*10000</f>
        <v>20.227540455080909</v>
      </c>
      <c r="D108" s="13">
        <f t="shared" ref="C108:I108" si="18" xml:space="preserve"> AVERAGE(D67:D71)*10000</f>
        <v>25.652551305102612</v>
      </c>
      <c r="E108" s="13">
        <f t="shared" si="18"/>
        <v>20.072540145080293</v>
      </c>
      <c r="F108" s="13">
        <f t="shared" si="18"/>
        <v>22.862545725091447</v>
      </c>
      <c r="G108" s="13">
        <f t="shared" si="18"/>
        <v>22.862545725091454</v>
      </c>
      <c r="H108" s="13">
        <f t="shared" si="18"/>
        <v>24.95504991009982</v>
      </c>
      <c r="I108" s="13"/>
    </row>
    <row r="109" spans="1:9" x14ac:dyDescent="0.2">
      <c r="A109" s="5"/>
      <c r="B109" s="6">
        <v>30</v>
      </c>
      <c r="C109" s="13">
        <f xml:space="preserve"> AVERAGE(C73:C77)*10000</f>
        <v>25.11005022010044</v>
      </c>
      <c r="D109" s="13">
        <f t="shared" ref="C109:I109" si="19" xml:space="preserve"> AVERAGE(D73:D77)*10000</f>
        <v>29.295058590117179</v>
      </c>
      <c r="E109" s="13">
        <f t="shared" si="19"/>
        <v>21.932543865087734</v>
      </c>
      <c r="F109" s="13">
        <f t="shared" si="19"/>
        <v>25.110050220100447</v>
      </c>
      <c r="G109" s="13">
        <f t="shared" si="19"/>
        <v>24.102548205096411</v>
      </c>
      <c r="H109" s="13">
        <f t="shared" si="19"/>
        <v>27.04755409510819</v>
      </c>
      <c r="I109" s="13"/>
    </row>
    <row r="110" spans="1:9" x14ac:dyDescent="0.2">
      <c r="A110" s="5"/>
      <c r="B110" s="6">
        <v>40</v>
      </c>
      <c r="C110" s="13">
        <f xml:space="preserve"> AVERAGE(C79:C83)*10000</f>
        <v>25.032550065100132</v>
      </c>
      <c r="D110" s="13">
        <f t="shared" ref="C110:I110" si="20" xml:space="preserve"> AVERAGE(D79:D83)*10000</f>
        <v>29.915059830119663</v>
      </c>
      <c r="E110" s="13">
        <f t="shared" si="20"/>
        <v>22.320044640089282</v>
      </c>
      <c r="F110" s="13">
        <f t="shared" si="20"/>
        <v>25.962551925103849</v>
      </c>
      <c r="G110" s="13">
        <f t="shared" si="20"/>
        <v>23.947547895095791</v>
      </c>
      <c r="H110" s="13">
        <f t="shared" si="20"/>
        <v>27.280054560109118</v>
      </c>
      <c r="I110" s="13"/>
    </row>
    <row r="111" spans="1:9" x14ac:dyDescent="0.2">
      <c r="A111" s="5"/>
      <c r="B111" s="6">
        <v>50</v>
      </c>
      <c r="C111" s="13">
        <f xml:space="preserve"> AVERAGE(C85:C89)*10000</f>
        <v>26.350052700105401</v>
      </c>
      <c r="D111" s="13">
        <f t="shared" ref="C111:I111" si="21" xml:space="preserve"> AVERAGE(D85:D89)*10000</f>
        <v>30.302560605121208</v>
      </c>
      <c r="E111" s="13">
        <f t="shared" si="21"/>
        <v>23.017546035092071</v>
      </c>
      <c r="F111" s="13">
        <f t="shared" si="21"/>
        <v>26.737553475106946</v>
      </c>
      <c r="G111" s="13">
        <f t="shared" si="21"/>
        <v>24.722549445098892</v>
      </c>
      <c r="H111" s="13">
        <f t="shared" si="21"/>
        <v>27.590055180110362</v>
      </c>
      <c r="I111" s="13"/>
    </row>
    <row r="112" spans="1:9" x14ac:dyDescent="0.2">
      <c r="A112" s="5"/>
      <c r="B112" s="6">
        <v>60</v>
      </c>
      <c r="C112" s="13">
        <f xml:space="preserve"> AVERAGE(C91:C95)*10000</f>
        <v>27.04755409510819</v>
      </c>
      <c r="D112" s="13">
        <f t="shared" ref="C112:I112" si="22" xml:space="preserve"> AVERAGE(D91:D95)*10000</f>
        <v>30.302560605121208</v>
      </c>
      <c r="E112" s="13">
        <f t="shared" si="22"/>
        <v>22.397544795089591</v>
      </c>
      <c r="F112" s="13">
        <f t="shared" si="22"/>
        <v>27.667555335110666</v>
      </c>
      <c r="G112" s="13">
        <f t="shared" si="22"/>
        <v>24.722549445098892</v>
      </c>
      <c r="H112" s="13">
        <f t="shared" si="22"/>
        <v>27.822555645111294</v>
      </c>
      <c r="I112" s="13"/>
    </row>
    <row r="113" spans="1:9" x14ac:dyDescent="0.2">
      <c r="A113" s="5"/>
      <c r="B113" s="6"/>
      <c r="C113" s="13"/>
      <c r="D113" s="13"/>
      <c r="E113" s="11"/>
      <c r="F113" s="11"/>
      <c r="G113" s="11"/>
      <c r="H113" s="11"/>
    </row>
    <row r="114" spans="1:9" x14ac:dyDescent="0.2">
      <c r="A114" s="5"/>
      <c r="B114" s="6"/>
      <c r="C114" s="11"/>
      <c r="D114" s="11"/>
      <c r="E114" s="11"/>
      <c r="F114" s="11"/>
      <c r="G114" s="11"/>
      <c r="H114" s="11"/>
    </row>
    <row r="115" spans="1:9" x14ac:dyDescent="0.2">
      <c r="A115" s="5"/>
      <c r="B115" s="6"/>
      <c r="C115" s="11"/>
      <c r="D115" s="11"/>
      <c r="E115" s="11"/>
      <c r="F115" s="11"/>
      <c r="G115" s="5"/>
      <c r="H115" s="5"/>
    </row>
    <row r="116" spans="1:9" x14ac:dyDescent="0.2">
      <c r="A116" s="12" t="s">
        <v>5</v>
      </c>
      <c r="B116" s="12"/>
      <c r="C116" s="14"/>
      <c r="D116" s="14"/>
      <c r="E116" s="14"/>
      <c r="F116" s="15"/>
      <c r="G116" s="2"/>
      <c r="H116" s="2"/>
    </row>
    <row r="117" spans="1:9" ht="51" x14ac:dyDescent="0.2">
      <c r="A117" s="2"/>
      <c r="B117" s="3" t="s">
        <v>2</v>
      </c>
      <c r="C117" s="3" t="s">
        <v>8</v>
      </c>
      <c r="D117" s="3" t="s">
        <v>9</v>
      </c>
      <c r="E117" s="3" t="s">
        <v>10</v>
      </c>
      <c r="F117" s="3" t="s">
        <v>11</v>
      </c>
      <c r="G117" s="3" t="s">
        <v>12</v>
      </c>
      <c r="H117" s="3" t="s">
        <v>13</v>
      </c>
      <c r="I117" s="3"/>
    </row>
    <row r="118" spans="1:9" x14ac:dyDescent="0.2">
      <c r="A118" s="5"/>
      <c r="B118" s="6">
        <v>0</v>
      </c>
      <c r="C118" s="16">
        <f t="shared" ref="C118:I118" si="23" xml:space="preserve"> STDEV(C55:C59)*10000</f>
        <v>0</v>
      </c>
      <c r="D118" s="16">
        <f t="shared" si="23"/>
        <v>0</v>
      </c>
      <c r="E118" s="16">
        <f t="shared" si="23"/>
        <v>0</v>
      </c>
      <c r="F118" s="16">
        <f t="shared" si="23"/>
        <v>0</v>
      </c>
      <c r="G118" s="16">
        <f t="shared" si="23"/>
        <v>0</v>
      </c>
      <c r="H118" s="16">
        <f t="shared" si="23"/>
        <v>0</v>
      </c>
      <c r="I118" s="16"/>
    </row>
    <row r="119" spans="1:9" x14ac:dyDescent="0.2">
      <c r="A119" s="5"/>
      <c r="B119" s="6">
        <v>10</v>
      </c>
      <c r="C119" s="16">
        <f t="shared" ref="C119:I119" si="24" xml:space="preserve"> STDEV(C61:C65)*10000</f>
        <v>0.63908265013603893</v>
      </c>
      <c r="D119" s="16">
        <f t="shared" si="24"/>
        <v>0.35795788281333357</v>
      </c>
      <c r="E119" s="16">
        <f t="shared" si="24"/>
        <v>1.7718011242154146</v>
      </c>
      <c r="F119" s="16">
        <f t="shared" si="24"/>
        <v>1.1033002926438149</v>
      </c>
      <c r="G119" s="16">
        <f t="shared" si="24"/>
        <v>0.77500155000310167</v>
      </c>
      <c r="H119" s="16">
        <f t="shared" si="24"/>
        <v>1.1460243977111026</v>
      </c>
      <c r="I119" s="16"/>
    </row>
    <row r="120" spans="1:9" x14ac:dyDescent="0.2">
      <c r="A120" s="5"/>
      <c r="B120" s="6">
        <v>20</v>
      </c>
      <c r="C120" s="16">
        <f t="shared" ref="C120:I120" si="25" xml:space="preserve"> STDEV(C67:C71)*10000</f>
        <v>1.2496524502911777</v>
      </c>
      <c r="D120" s="16">
        <f t="shared" si="25"/>
        <v>1.7050034100068219</v>
      </c>
      <c r="E120" s="16">
        <f t="shared" si="25"/>
        <v>1.4401967330859917</v>
      </c>
      <c r="F120" s="16">
        <f t="shared" si="25"/>
        <v>1.9990433507091903</v>
      </c>
      <c r="G120" s="16">
        <f t="shared" si="25"/>
        <v>0.81528787887549847</v>
      </c>
      <c r="H120" s="16">
        <f t="shared" si="25"/>
        <v>1.6501043072179893</v>
      </c>
      <c r="I120" s="16"/>
    </row>
    <row r="121" spans="1:9" x14ac:dyDescent="0.2">
      <c r="A121" s="5"/>
      <c r="B121" s="6">
        <v>30</v>
      </c>
      <c r="C121" s="16">
        <f t="shared" ref="C121:I121" si="26" xml:space="preserve"> STDEV(C73:C77)*10000</f>
        <v>1.0436175975326116</v>
      </c>
      <c r="D121" s="16">
        <f t="shared" si="26"/>
        <v>1.6501043072179709</v>
      </c>
      <c r="E121" s="16">
        <f t="shared" si="26"/>
        <v>1.1141349253336568</v>
      </c>
      <c r="F121" s="16">
        <f t="shared" si="26"/>
        <v>1.7352652183175943</v>
      </c>
      <c r="G121" s="16">
        <f t="shared" si="26"/>
        <v>0.63908265013603749</v>
      </c>
      <c r="H121" s="16">
        <f t="shared" si="26"/>
        <v>2.1082321453182891</v>
      </c>
      <c r="I121" s="16"/>
    </row>
    <row r="122" spans="1:9" x14ac:dyDescent="0.2">
      <c r="A122" s="5"/>
      <c r="B122" s="6">
        <v>40</v>
      </c>
      <c r="C122" s="16">
        <f t="shared" ref="C122:I122" si="27" xml:space="preserve"> STDEV(C79:C83)*10000</f>
        <v>1.8318037800685985</v>
      </c>
      <c r="D122" s="16">
        <f t="shared" si="27"/>
        <v>1.2528525898466596</v>
      </c>
      <c r="E122" s="16">
        <f t="shared" si="27"/>
        <v>1.753628324599287</v>
      </c>
      <c r="F122" s="16">
        <f t="shared" si="27"/>
        <v>1.8142321146257663</v>
      </c>
      <c r="G122" s="16">
        <f t="shared" si="27"/>
        <v>0.63908265013603749</v>
      </c>
      <c r="H122" s="16">
        <f t="shared" si="27"/>
        <v>2.0718310347576283</v>
      </c>
      <c r="I122" s="16"/>
    </row>
    <row r="123" spans="1:9" x14ac:dyDescent="0.2">
      <c r="A123" s="5"/>
      <c r="B123" s="6">
        <v>50</v>
      </c>
      <c r="C123" s="16">
        <f t="shared" ref="C123:I123" si="28" xml:space="preserve"> STDEV(C85:C89)*10000</f>
        <v>1.3152212434494657</v>
      </c>
      <c r="D123" s="16">
        <f t="shared" si="28"/>
        <v>1.4177798514076232</v>
      </c>
      <c r="E123" s="16">
        <f t="shared" si="28"/>
        <v>0.58682170270943357</v>
      </c>
      <c r="F123" s="16">
        <f t="shared" si="28"/>
        <v>2.4327313879747736</v>
      </c>
      <c r="G123" s="16">
        <f t="shared" si="28"/>
        <v>0.52942684842827603</v>
      </c>
      <c r="H123" s="16">
        <f t="shared" si="28"/>
        <v>2.040673906021405</v>
      </c>
      <c r="I123" s="16"/>
    </row>
    <row r="124" spans="1:9" x14ac:dyDescent="0.2">
      <c r="A124" s="5"/>
      <c r="B124" s="6">
        <v>60</v>
      </c>
      <c r="C124" s="16">
        <f t="shared" ref="C124:I124" si="29" xml:space="preserve"> STDEV(C91:C95)*10000</f>
        <v>2.1681583130135391</v>
      </c>
      <c r="D124" s="16">
        <f t="shared" si="29"/>
        <v>1.9172479504080993</v>
      </c>
      <c r="E124" s="16">
        <f t="shared" si="29"/>
        <v>0.81528787887549847</v>
      </c>
      <c r="F124" s="16">
        <f t="shared" si="29"/>
        <v>2.3523988752830669</v>
      </c>
      <c r="G124" s="16">
        <f t="shared" si="29"/>
        <v>0.77500155000309989</v>
      </c>
      <c r="H124" s="16">
        <f t="shared" si="29"/>
        <v>2.2120378023650678</v>
      </c>
      <c r="I124" s="16"/>
    </row>
    <row r="125" spans="1:9" x14ac:dyDescent="0.2">
      <c r="A125" s="5"/>
      <c r="B125" s="6"/>
      <c r="C125" s="16"/>
      <c r="D125" s="16"/>
      <c r="E125" s="16"/>
      <c r="F125" s="16"/>
      <c r="G125" s="16"/>
      <c r="H125" s="16"/>
    </row>
    <row r="126" spans="1:9" x14ac:dyDescent="0.2">
      <c r="A126" s="5"/>
      <c r="B126" s="6"/>
      <c r="C126" s="6"/>
      <c r="D126" s="6"/>
      <c r="E126" s="6"/>
      <c r="F126" s="6"/>
      <c r="G126" s="5"/>
      <c r="H126" s="5"/>
    </row>
    <row r="127" spans="1:9" x14ac:dyDescent="0.2">
      <c r="A127" s="5"/>
      <c r="B127" s="6"/>
      <c r="C127" s="6"/>
      <c r="D127" s="6"/>
      <c r="E127" s="6"/>
      <c r="F127" s="6"/>
      <c r="G127" s="5"/>
      <c r="H127" s="5"/>
    </row>
    <row r="128" spans="1:9" x14ac:dyDescent="0.2">
      <c r="A128" s="12" t="s">
        <v>6</v>
      </c>
      <c r="B128" s="12"/>
      <c r="C128" s="3"/>
      <c r="D128" s="3"/>
      <c r="E128" s="3"/>
      <c r="F128" s="2"/>
      <c r="G128" s="2"/>
      <c r="H128" s="2"/>
    </row>
    <row r="129" spans="1:9" ht="51" x14ac:dyDescent="0.2">
      <c r="A129" s="2"/>
      <c r="B129" s="3" t="s">
        <v>2</v>
      </c>
      <c r="C129" s="3" t="s">
        <v>8</v>
      </c>
      <c r="D129" s="3" t="s">
        <v>9</v>
      </c>
      <c r="E129" s="3" t="s">
        <v>10</v>
      </c>
      <c r="F129" s="3" t="s">
        <v>11</v>
      </c>
      <c r="G129" s="3" t="s">
        <v>12</v>
      </c>
      <c r="H129" s="3" t="s">
        <v>13</v>
      </c>
      <c r="I129" s="3"/>
    </row>
    <row r="130" spans="1:9" x14ac:dyDescent="0.2">
      <c r="A130" s="5"/>
      <c r="B130" s="6">
        <v>0</v>
      </c>
      <c r="C130" s="11">
        <f>AVERAGE(C55:C59)*25.8/AVERAGE(C4:C8)</f>
        <v>0</v>
      </c>
      <c r="D130" s="11">
        <f t="shared" ref="C130:I130" si="30">AVERAGE(D55:D59)*25.8/AVERAGE(D4:D8)</f>
        <v>0</v>
      </c>
      <c r="E130" s="11">
        <f t="shared" si="30"/>
        <v>0</v>
      </c>
      <c r="F130" s="11">
        <f t="shared" si="30"/>
        <v>0</v>
      </c>
      <c r="G130" s="11">
        <f t="shared" si="30"/>
        <v>0</v>
      </c>
      <c r="H130" s="11">
        <f t="shared" si="30"/>
        <v>0</v>
      </c>
      <c r="I130" s="11"/>
    </row>
    <row r="131" spans="1:9" x14ac:dyDescent="0.2">
      <c r="A131" s="5"/>
      <c r="B131" s="6">
        <v>10</v>
      </c>
      <c r="C131" s="11">
        <f>AVERAGE(C61:C65)*25.8/AVERAGE(C4:C8)</f>
        <v>0.10526489306946864</v>
      </c>
      <c r="D131" s="11">
        <f t="shared" ref="C131:I131" si="31">AVERAGE(D61:D65)*25.8/AVERAGE(D4:D8)</f>
        <v>0.10314284108279165</v>
      </c>
      <c r="E131" s="11">
        <f t="shared" si="31"/>
        <v>0.10192982007977053</v>
      </c>
      <c r="F131" s="11">
        <f t="shared" si="31"/>
        <v>0.11182969590065293</v>
      </c>
      <c r="G131" s="11">
        <f t="shared" si="31"/>
        <v>0.11689407994200603</v>
      </c>
      <c r="H131" s="11">
        <f t="shared" si="31"/>
        <v>0.1084642364764265</v>
      </c>
      <c r="I131" s="11"/>
    </row>
    <row r="132" spans="1:9" x14ac:dyDescent="0.2">
      <c r="A132" s="5"/>
      <c r="B132" s="6">
        <v>20</v>
      </c>
      <c r="C132" s="11">
        <f>AVERAGE(C67:C71)*25.8/AVERAGE(C4:C8)</f>
        <v>0.13806099040769512</v>
      </c>
      <c r="D132" s="11">
        <f t="shared" ref="C132:I132" si="32">AVERAGE(D67:D71)*25.8/AVERAGE(D4:D8)</f>
        <v>0.14715638102760364</v>
      </c>
      <c r="E132" s="11">
        <f t="shared" si="32"/>
        <v>0.14999899659466231</v>
      </c>
      <c r="F132" s="11">
        <f t="shared" si="32"/>
        <v>0.16171451122888536</v>
      </c>
      <c r="G132" s="11">
        <f t="shared" si="32"/>
        <v>0.16499403628177889</v>
      </c>
      <c r="H132" s="11">
        <f t="shared" si="32"/>
        <v>0.15732200065499702</v>
      </c>
      <c r="I132" s="11"/>
    </row>
    <row r="133" spans="1:9" x14ac:dyDescent="0.2">
      <c r="A133" s="5"/>
      <c r="B133" s="6">
        <v>30</v>
      </c>
      <c r="C133" s="11">
        <f>AVERAGE(C73:C77)*25.8/AVERAGE(C4:C8)</f>
        <v>0.17138605705782842</v>
      </c>
      <c r="D133" s="11">
        <f t="shared" ref="C133:I133" si="33">AVERAGE(D73:D77)*25.8/AVERAGE(D4:D8)</f>
        <v>0.1680516979711002</v>
      </c>
      <c r="E133" s="11">
        <f t="shared" si="33"/>
        <v>0.163898517514631</v>
      </c>
      <c r="F133" s="11">
        <f t="shared" si="33"/>
        <v>0.17761186995986059</v>
      </c>
      <c r="G133" s="11">
        <f t="shared" si="33"/>
        <v>0.17394286536824824</v>
      </c>
      <c r="H133" s="11">
        <f t="shared" si="33"/>
        <v>0.17051359698321106</v>
      </c>
      <c r="I133" s="11"/>
    </row>
    <row r="134" spans="1:9" x14ac:dyDescent="0.2">
      <c r="A134" s="5"/>
      <c r="B134" s="6">
        <v>40</v>
      </c>
      <c r="C134" s="11">
        <f>AVERAGE(C79:C83)*25.8/AVERAGE(C4:C8)</f>
        <v>0.17085708774592154</v>
      </c>
      <c r="D134" s="11">
        <f t="shared" ref="C134:I134" si="34">AVERAGE(D79:D83)*25.8/AVERAGE(D4:D8)</f>
        <v>0.1716083476636103</v>
      </c>
      <c r="E134" s="11">
        <f t="shared" si="34"/>
        <v>0.16679425103962447</v>
      </c>
      <c r="F134" s="11">
        <f t="shared" si="34"/>
        <v>0.18364190258195454</v>
      </c>
      <c r="G134" s="11">
        <f t="shared" si="34"/>
        <v>0.17282426173243956</v>
      </c>
      <c r="H134" s="11">
        <f t="shared" si="34"/>
        <v>0.17197932990856815</v>
      </c>
      <c r="I134" s="11"/>
    </row>
    <row r="135" spans="1:9" x14ac:dyDescent="0.2">
      <c r="A135" s="5"/>
      <c r="B135" s="6">
        <v>50</v>
      </c>
      <c r="C135" s="11">
        <f>AVERAGE(C85:C89)*25.8/AVERAGE(C4:C8)</f>
        <v>0.17984956604833846</v>
      </c>
      <c r="D135" s="11">
        <f t="shared" ref="C135:I135" si="35">AVERAGE(D85:D89)*25.8/AVERAGE(D4:D8)</f>
        <v>0.17383125372142902</v>
      </c>
      <c r="E135" s="11">
        <f t="shared" si="35"/>
        <v>0.17200657138461273</v>
      </c>
      <c r="F135" s="11">
        <f t="shared" si="35"/>
        <v>0.18912375042022186</v>
      </c>
      <c r="G135" s="11">
        <f t="shared" si="35"/>
        <v>0.1784172799114829</v>
      </c>
      <c r="H135" s="11">
        <f t="shared" si="35"/>
        <v>0.17393364047571103</v>
      </c>
      <c r="I135" s="11"/>
    </row>
    <row r="136" spans="1:9" x14ac:dyDescent="0.2">
      <c r="A136" s="5"/>
      <c r="B136" s="6">
        <v>60</v>
      </c>
      <c r="C136" s="11">
        <f>AVERAGE(C91:C95)*25.8/AVERAGE(C4:C8)</f>
        <v>0.18461028985550035</v>
      </c>
      <c r="D136" s="11">
        <f t="shared" ref="C136:I136" si="36">AVERAGE(D91:D95)*25.8/AVERAGE(D4:D8)</f>
        <v>0.17383125372142902</v>
      </c>
      <c r="E136" s="11">
        <f t="shared" si="36"/>
        <v>0.16737339774462315</v>
      </c>
      <c r="F136" s="11">
        <f t="shared" si="36"/>
        <v>0.1957019678261426</v>
      </c>
      <c r="G136" s="11">
        <f t="shared" si="36"/>
        <v>0.1784172799114829</v>
      </c>
      <c r="H136" s="11">
        <f t="shared" si="36"/>
        <v>0.17539937340106815</v>
      </c>
      <c r="I136" s="11"/>
    </row>
    <row r="137" spans="1:9" x14ac:dyDescent="0.2">
      <c r="A137" s="5"/>
      <c r="B137" s="6"/>
      <c r="C137" s="11"/>
      <c r="D137" s="11"/>
      <c r="E137" s="6"/>
      <c r="F137" s="11"/>
      <c r="G137" s="11"/>
      <c r="H137" s="11"/>
    </row>
    <row r="138" spans="1:9" x14ac:dyDescent="0.2">
      <c r="A138" s="5"/>
      <c r="B138" s="6"/>
      <c r="C138" s="6"/>
      <c r="E138" s="6"/>
      <c r="F138" s="6"/>
      <c r="G138" s="5"/>
      <c r="H138" s="5"/>
    </row>
    <row r="139" spans="1:9" x14ac:dyDescent="0.2">
      <c r="A139" s="5"/>
      <c r="B139" s="6"/>
      <c r="C139" s="6"/>
      <c r="D139" s="6"/>
      <c r="E139" s="6"/>
      <c r="F139" s="6"/>
      <c r="G139" s="5"/>
      <c r="H139" s="5"/>
    </row>
    <row r="140" spans="1:9" x14ac:dyDescent="0.2">
      <c r="A140" s="12" t="s">
        <v>5</v>
      </c>
      <c r="B140" s="12"/>
      <c r="C140" s="14"/>
      <c r="D140" s="14"/>
      <c r="E140" s="14"/>
      <c r="F140" s="15"/>
      <c r="G140" s="2"/>
      <c r="H140" s="2"/>
    </row>
    <row r="141" spans="1:9" ht="51" x14ac:dyDescent="0.2">
      <c r="A141" s="2"/>
      <c r="B141" s="3" t="s">
        <v>2</v>
      </c>
      <c r="C141" s="3" t="s">
        <v>8</v>
      </c>
      <c r="D141" s="3" t="s">
        <v>9</v>
      </c>
      <c r="E141" s="3" t="s">
        <v>10</v>
      </c>
      <c r="F141" s="3" t="s">
        <v>11</v>
      </c>
      <c r="G141" s="3" t="s">
        <v>12</v>
      </c>
      <c r="H141" s="3" t="s">
        <v>13</v>
      </c>
      <c r="I141" s="3"/>
    </row>
    <row r="142" spans="1:9" x14ac:dyDescent="0.2">
      <c r="A142" s="5"/>
      <c r="B142" s="6">
        <v>0</v>
      </c>
      <c r="C142" s="11">
        <f xml:space="preserve"> STDEV(C55:C59)*22.58/AVERAGE(C4:C8)</f>
        <v>0</v>
      </c>
      <c r="D142" s="11">
        <f xml:space="preserve"> STDEV(D55:D59)*22.58/AVERAGE(D4:D8)</f>
        <v>0</v>
      </c>
      <c r="E142" s="11">
        <f t="shared" ref="E142:I142" si="37" xml:space="preserve"> STDEV(E55:E59)*22.58/AVERAGE(E4:E8)</f>
        <v>0</v>
      </c>
      <c r="F142" s="11">
        <f t="shared" si="37"/>
        <v>0</v>
      </c>
      <c r="G142" s="11">
        <f t="shared" si="37"/>
        <v>0</v>
      </c>
      <c r="H142" s="11">
        <f t="shared" si="37"/>
        <v>0</v>
      </c>
      <c r="I142" s="11"/>
    </row>
    <row r="143" spans="1:9" x14ac:dyDescent="0.2">
      <c r="A143" s="5"/>
      <c r="B143" s="6">
        <v>10</v>
      </c>
      <c r="C143" s="11">
        <f t="shared" ref="C143:I143" si="38" xml:space="preserve"> STDEV(C61:C65)*22.58/AVERAGE(C4:C8)</f>
        <v>3.8175889523999356E-3</v>
      </c>
      <c r="D143" s="11">
        <f xml:space="preserve"> STDEV(D61:D65)*22.58/AVERAGE(D4:D8)</f>
        <v>1.7971515272762802E-3</v>
      </c>
      <c r="E143" s="11">
        <f t="shared" si="38"/>
        <v>1.1587912928250271E-2</v>
      </c>
      <c r="F143" s="11">
        <f t="shared" si="38"/>
        <v>6.8300262118978312E-3</v>
      </c>
      <c r="G143" s="11">
        <f t="shared" si="38"/>
        <v>4.8949748249146954E-3</v>
      </c>
      <c r="H143" s="11">
        <f t="shared" si="38"/>
        <v>6.3230863531622957E-3</v>
      </c>
      <c r="I143" s="11"/>
    </row>
    <row r="144" spans="1:9" x14ac:dyDescent="0.2">
      <c r="A144" s="5"/>
      <c r="B144" s="6">
        <v>20</v>
      </c>
      <c r="C144" s="11">
        <f t="shared" ref="C144:I144" si="39" xml:space="preserve"> STDEV(C67:C71)*22.58/AVERAGE(C4:C8)</f>
        <v>7.4648551131150237E-3</v>
      </c>
      <c r="D144" s="11">
        <f t="shared" si="39"/>
        <v>8.5600838238919473E-3</v>
      </c>
      <c r="E144" s="11">
        <f t="shared" si="39"/>
        <v>9.4191577793140309E-3</v>
      </c>
      <c r="F144" s="11">
        <f t="shared" si="39"/>
        <v>1.2375160756412202E-2</v>
      </c>
      <c r="G144" s="11">
        <f t="shared" si="39"/>
        <v>5.1494266587437075E-3</v>
      </c>
      <c r="H144" s="11">
        <f t="shared" si="39"/>
        <v>9.1043018343267418E-3</v>
      </c>
      <c r="I144" s="11"/>
    </row>
    <row r="145" spans="1:9" x14ac:dyDescent="0.2">
      <c r="A145" s="5"/>
      <c r="B145" s="6">
        <v>30</v>
      </c>
      <c r="C145" s="11">
        <f t="shared" ref="C145:I145" si="40" xml:space="preserve"> STDEV(C73:C77)*22.58/AVERAGE(C4:C8)</f>
        <v>6.2340966540440131E-3</v>
      </c>
      <c r="D145" s="11">
        <f t="shared" si="40"/>
        <v>8.2844592011076766E-3</v>
      </c>
      <c r="E145" s="11">
        <f t="shared" si="40"/>
        <v>7.286652169162626E-3</v>
      </c>
      <c r="F145" s="11">
        <f t="shared" si="40"/>
        <v>1.0742231289818034E-2</v>
      </c>
      <c r="G145" s="11">
        <f t="shared" si="40"/>
        <v>4.0364996475725111E-3</v>
      </c>
      <c r="H145" s="11">
        <f t="shared" si="40"/>
        <v>1.1631980901963828E-2</v>
      </c>
      <c r="I145" s="11"/>
    </row>
    <row r="146" spans="1:9" x14ac:dyDescent="0.2">
      <c r="A146" s="5"/>
      <c r="B146" s="6">
        <v>40</v>
      </c>
      <c r="C146" s="11">
        <f t="shared" ref="C146:I146" si="41" xml:space="preserve"> STDEV(C79:C83)*22.58/AVERAGE(C4:C8)</f>
        <v>1.0942362262949458E-2</v>
      </c>
      <c r="D146" s="11">
        <f t="shared" si="41"/>
        <v>6.2900303454669409E-3</v>
      </c>
      <c r="E146" s="11">
        <f t="shared" si="41"/>
        <v>1.146905939737926E-2</v>
      </c>
      <c r="F146" s="11">
        <f t="shared" si="41"/>
        <v>1.1231079135914954E-2</v>
      </c>
      <c r="G146" s="11">
        <f t="shared" si="41"/>
        <v>4.0364996475725111E-3</v>
      </c>
      <c r="H146" s="11">
        <f t="shared" si="41"/>
        <v>1.1431141054325534E-2</v>
      </c>
      <c r="I146" s="11"/>
    </row>
    <row r="147" spans="1:9" x14ac:dyDescent="0.2">
      <c r="A147" s="5"/>
      <c r="B147" s="6">
        <v>50</v>
      </c>
      <c r="C147" s="11">
        <f t="shared" ref="C147:I147" si="42" xml:space="preserve"> STDEV(C85:C89)*22.58/AVERAGE(C4:C8)</f>
        <v>7.856533247907126E-3</v>
      </c>
      <c r="D147" s="11">
        <f t="shared" si="42"/>
        <v>7.1180587092349356E-3</v>
      </c>
      <c r="E147" s="11">
        <f t="shared" si="42"/>
        <v>3.8379244162719799E-3</v>
      </c>
      <c r="F147" s="11">
        <f t="shared" si="42"/>
        <v>1.5059924534741708E-2</v>
      </c>
      <c r="G147" s="11">
        <f t="shared" si="42"/>
        <v>3.3439044021008318E-3</v>
      </c>
      <c r="H147" s="11">
        <f t="shared" si="42"/>
        <v>1.1259234403900628E-2</v>
      </c>
      <c r="I147" s="11"/>
    </row>
    <row r="148" spans="1:9" x14ac:dyDescent="0.2">
      <c r="A148" s="5"/>
      <c r="B148" s="6">
        <v>60</v>
      </c>
      <c r="C148" s="11">
        <f t="shared" ref="C148:I148" si="43" xml:space="preserve"> STDEV(C91:C95)*22.58/AVERAGE(C4:C8)</f>
        <v>1.2951591192551777E-2</v>
      </c>
      <c r="D148" s="11">
        <f t="shared" si="43"/>
        <v>9.6256717554674531E-3</v>
      </c>
      <c r="E148" s="11">
        <f t="shared" si="43"/>
        <v>5.3321362215811019E-3</v>
      </c>
      <c r="F148" s="11">
        <f t="shared" si="43"/>
        <v>1.456262278379483E-2</v>
      </c>
      <c r="G148" s="11">
        <f t="shared" si="43"/>
        <v>4.8949748249146842E-3</v>
      </c>
      <c r="H148" s="11">
        <f t="shared" si="43"/>
        <v>1.2204719261430231E-2</v>
      </c>
      <c r="I148" s="11"/>
    </row>
    <row r="149" spans="1:9" x14ac:dyDescent="0.2">
      <c r="A149" s="5"/>
      <c r="B149" s="6"/>
      <c r="C149" s="9"/>
      <c r="D149" s="9"/>
      <c r="E149" s="9"/>
      <c r="F149" s="9"/>
      <c r="G149" s="9"/>
      <c r="H149" s="9"/>
    </row>
    <row r="150" spans="1:9" x14ac:dyDescent="0.2">
      <c r="A150" s="5"/>
      <c r="B150" s="6"/>
      <c r="C150" s="17"/>
      <c r="D150" s="17"/>
      <c r="E150" s="17"/>
      <c r="F150" s="17"/>
      <c r="G150" s="17"/>
      <c r="H150" s="17"/>
    </row>
    <row r="151" spans="1:9" x14ac:dyDescent="0.2">
      <c r="A151" s="5"/>
      <c r="B151" s="6"/>
      <c r="C151" s="6"/>
      <c r="D151" s="6"/>
      <c r="E151" s="6"/>
      <c r="F151" s="6"/>
      <c r="G151" s="5"/>
      <c r="H151" s="5"/>
    </row>
  </sheetData>
  <mergeCells count="2">
    <mergeCell ref="A2:E2"/>
    <mergeCell ref="A53:E5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EFCB8-AB8B-C342-AB40-744121E3B9DE}">
  <dimension ref="A1:H148"/>
  <sheetViews>
    <sheetView tabSelected="1" topLeftCell="A149" zoomScale="86" workbookViewId="0">
      <selection activeCell="N166" sqref="N166"/>
    </sheetView>
  </sheetViews>
  <sheetFormatPr baseColWidth="10" defaultRowHeight="16" x14ac:dyDescent="0.2"/>
  <cols>
    <col min="3" max="3" width="18.6640625" customWidth="1"/>
    <col min="4" max="4" width="18" customWidth="1"/>
    <col min="5" max="5" width="19.1640625" customWidth="1"/>
    <col min="6" max="6" width="19.6640625" customWidth="1"/>
    <col min="7" max="7" width="20.83203125" customWidth="1"/>
    <col min="8" max="8" width="21.1640625" customWidth="1"/>
  </cols>
  <sheetData>
    <row r="1" spans="1:8" x14ac:dyDescent="0.2">
      <c r="A1" s="1" t="s">
        <v>7</v>
      </c>
      <c r="B1" s="2"/>
      <c r="C1" s="3"/>
      <c r="D1" s="3"/>
      <c r="E1" s="3"/>
      <c r="F1" s="3"/>
      <c r="G1" s="2"/>
      <c r="H1" s="2"/>
    </row>
    <row r="2" spans="1:8" x14ac:dyDescent="0.2">
      <c r="A2" s="4" t="s">
        <v>0</v>
      </c>
      <c r="B2" s="4"/>
      <c r="C2" s="4"/>
      <c r="D2" s="4"/>
      <c r="E2" s="4"/>
      <c r="F2" s="2"/>
      <c r="G2" s="2"/>
      <c r="H2" s="2"/>
    </row>
    <row r="3" spans="1:8" ht="68" x14ac:dyDescent="0.2">
      <c r="A3" s="2" t="s">
        <v>1</v>
      </c>
      <c r="B3" s="3" t="s">
        <v>2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x14ac:dyDescent="0.2">
      <c r="A4" s="5">
        <v>1</v>
      </c>
      <c r="B4" s="6">
        <v>0</v>
      </c>
      <c r="C4" s="7">
        <v>0.36899999999999999</v>
      </c>
      <c r="D4" s="7">
        <v>0.44600000000000001</v>
      </c>
      <c r="E4" s="8">
        <v>0.35299999999999998</v>
      </c>
      <c r="F4" s="8">
        <v>0.34799999999999998</v>
      </c>
      <c r="G4" s="8">
        <v>0.35199999999999998</v>
      </c>
      <c r="H4" s="8">
        <v>0.41599999999999998</v>
      </c>
    </row>
    <row r="5" spans="1:8" x14ac:dyDescent="0.2">
      <c r="A5" s="5">
        <v>2</v>
      </c>
      <c r="B5" s="6">
        <v>0</v>
      </c>
      <c r="C5" s="7">
        <v>0.38200000000000001</v>
      </c>
      <c r="D5" s="7">
        <v>0.47599999999999998</v>
      </c>
      <c r="E5" s="8">
        <v>0.32800000000000001</v>
      </c>
      <c r="F5" s="8">
        <v>0.35099999999999998</v>
      </c>
      <c r="G5" s="8">
        <v>0.35599999999999998</v>
      </c>
      <c r="H5" s="8">
        <v>0.40200000000000002</v>
      </c>
    </row>
    <row r="6" spans="1:8" x14ac:dyDescent="0.2">
      <c r="A6" s="5">
        <v>3</v>
      </c>
      <c r="B6" s="6">
        <v>0</v>
      </c>
      <c r="C6" s="7">
        <v>0.35699999999999998</v>
      </c>
      <c r="D6" s="7">
        <v>0.46300000000000002</v>
      </c>
      <c r="E6" s="8">
        <v>0.316</v>
      </c>
      <c r="F6" s="8">
        <v>0.36799999999999999</v>
      </c>
      <c r="G6" s="8">
        <v>0.38200000000000001</v>
      </c>
      <c r="H6" s="8">
        <v>0.41599999999999998</v>
      </c>
    </row>
    <row r="7" spans="1:8" x14ac:dyDescent="0.2">
      <c r="A7" s="5">
        <v>4</v>
      </c>
      <c r="B7" s="6">
        <v>0</v>
      </c>
      <c r="C7" s="7">
        <v>0.33700000000000002</v>
      </c>
      <c r="D7" s="7">
        <v>0.46700000000000003</v>
      </c>
      <c r="E7" s="8">
        <v>0.32600000000000001</v>
      </c>
      <c r="F7" s="8">
        <v>0.34899999999999998</v>
      </c>
      <c r="G7" s="8">
        <v>0.36199999999999999</v>
      </c>
      <c r="H7" s="8">
        <v>0.41599999999999998</v>
      </c>
    </row>
    <row r="8" spans="1:8" x14ac:dyDescent="0.2">
      <c r="A8" s="5"/>
      <c r="B8" s="6"/>
      <c r="C8" s="7"/>
      <c r="D8" s="7"/>
      <c r="E8" s="8"/>
      <c r="F8" s="8"/>
      <c r="G8" s="8"/>
      <c r="H8" s="8"/>
    </row>
    <row r="9" spans="1:8" x14ac:dyDescent="0.2">
      <c r="A9" s="5"/>
      <c r="B9" s="6"/>
      <c r="E9" s="8"/>
      <c r="F9" s="8"/>
      <c r="G9" s="8"/>
    </row>
    <row r="10" spans="1:8" x14ac:dyDescent="0.2">
      <c r="A10" s="5">
        <v>1</v>
      </c>
      <c r="B10" s="6">
        <v>4</v>
      </c>
      <c r="C10" s="7">
        <v>0.59399999999999997</v>
      </c>
      <c r="D10" s="7">
        <v>0.71499999999999997</v>
      </c>
      <c r="E10" s="8">
        <v>0.55500000000000005</v>
      </c>
      <c r="F10" s="8">
        <v>0.58299999999999996</v>
      </c>
      <c r="G10" s="8">
        <v>0.56100000000000005</v>
      </c>
      <c r="H10" s="8">
        <v>0.66500000000000004</v>
      </c>
    </row>
    <row r="11" spans="1:8" x14ac:dyDescent="0.2">
      <c r="A11" s="5">
        <v>2</v>
      </c>
      <c r="B11" s="6">
        <v>4</v>
      </c>
      <c r="C11" s="7">
        <v>0.61</v>
      </c>
      <c r="D11" s="7">
        <v>0.752</v>
      </c>
      <c r="E11" s="8">
        <v>0.504</v>
      </c>
      <c r="F11" s="8">
        <v>0.57199999999999995</v>
      </c>
      <c r="G11" s="8">
        <v>0.57599999999999996</v>
      </c>
      <c r="H11" s="8">
        <v>0.61699999999999999</v>
      </c>
    </row>
    <row r="12" spans="1:8" x14ac:dyDescent="0.2">
      <c r="A12" s="5">
        <v>3</v>
      </c>
      <c r="B12" s="6">
        <v>4</v>
      </c>
      <c r="C12" s="7">
        <v>0.55200000000000005</v>
      </c>
      <c r="D12" s="7">
        <v>0.71699999999999997</v>
      </c>
      <c r="E12" s="8">
        <v>0.51100000000000001</v>
      </c>
      <c r="F12" s="8">
        <v>0.57799999999999996</v>
      </c>
      <c r="G12" s="8">
        <v>0.61199999999999999</v>
      </c>
      <c r="H12" s="8">
        <v>0.61299999999999999</v>
      </c>
    </row>
    <row r="13" spans="1:8" x14ac:dyDescent="0.2">
      <c r="A13" s="5">
        <v>4</v>
      </c>
      <c r="B13" s="6">
        <v>4</v>
      </c>
      <c r="C13" s="7">
        <v>0.52500000000000002</v>
      </c>
      <c r="D13" s="7">
        <v>0.749</v>
      </c>
      <c r="E13" s="8">
        <v>0.52600000000000002</v>
      </c>
      <c r="F13" s="8">
        <v>0.56200000000000006</v>
      </c>
      <c r="G13" s="8">
        <v>0.59499999999999997</v>
      </c>
      <c r="H13" s="8">
        <v>0.61599999999999999</v>
      </c>
    </row>
    <row r="14" spans="1:8" x14ac:dyDescent="0.2">
      <c r="A14" s="5"/>
      <c r="B14" s="6"/>
      <c r="C14" s="7"/>
      <c r="D14" s="7"/>
      <c r="E14" s="8"/>
      <c r="F14" s="8"/>
      <c r="G14" s="8"/>
      <c r="H14" s="8"/>
    </row>
    <row r="15" spans="1:8" x14ac:dyDescent="0.2">
      <c r="A15" s="5"/>
      <c r="B15" s="6"/>
      <c r="E15" s="8"/>
      <c r="F15" s="8"/>
      <c r="G15" s="8"/>
    </row>
    <row r="16" spans="1:8" x14ac:dyDescent="0.2">
      <c r="A16" s="5">
        <v>1</v>
      </c>
      <c r="B16" s="6">
        <v>8</v>
      </c>
      <c r="C16" s="7">
        <v>0.59099999999999997</v>
      </c>
      <c r="D16" s="7">
        <v>0.73199999999999998</v>
      </c>
      <c r="E16" s="8">
        <v>0.56100000000000005</v>
      </c>
      <c r="F16" s="8">
        <v>0.58099999999999996</v>
      </c>
      <c r="G16" s="8">
        <v>0.56200000000000006</v>
      </c>
      <c r="H16" s="8">
        <v>0.68100000000000005</v>
      </c>
    </row>
    <row r="17" spans="1:8" x14ac:dyDescent="0.2">
      <c r="A17" s="5">
        <v>2</v>
      </c>
      <c r="B17" s="6">
        <v>8</v>
      </c>
      <c r="C17" s="7">
        <v>0.627</v>
      </c>
      <c r="D17" s="7">
        <v>0.78200000000000003</v>
      </c>
      <c r="E17" s="8">
        <v>0.503</v>
      </c>
      <c r="F17" s="8">
        <v>0.57399999999999995</v>
      </c>
      <c r="G17" s="8">
        <v>0.58299999999999996</v>
      </c>
      <c r="H17" s="8">
        <v>0.64400000000000002</v>
      </c>
    </row>
    <row r="18" spans="1:8" x14ac:dyDescent="0.2">
      <c r="A18" s="5">
        <v>3</v>
      </c>
      <c r="B18" s="6">
        <v>8</v>
      </c>
      <c r="C18" s="7">
        <v>0.56899999999999995</v>
      </c>
      <c r="D18" s="7">
        <v>0.746</v>
      </c>
      <c r="E18" s="8">
        <v>0.51100000000000001</v>
      </c>
      <c r="F18" s="8">
        <v>0.58499999999999996</v>
      </c>
      <c r="G18" s="8">
        <v>0.62</v>
      </c>
      <c r="H18" s="8">
        <v>0.63500000000000001</v>
      </c>
    </row>
    <row r="19" spans="1:8" x14ac:dyDescent="0.2">
      <c r="A19" s="5">
        <v>4</v>
      </c>
      <c r="B19" s="6">
        <v>8</v>
      </c>
      <c r="C19" s="7">
        <v>0.52700000000000002</v>
      </c>
      <c r="D19" s="7">
        <v>0.75800000000000001</v>
      </c>
      <c r="E19" s="8">
        <v>0.53200000000000003</v>
      </c>
      <c r="F19" s="8">
        <v>0.56100000000000005</v>
      </c>
      <c r="G19" s="8">
        <v>0.59699999999999998</v>
      </c>
      <c r="H19" s="8">
        <v>0.64400000000000002</v>
      </c>
    </row>
    <row r="20" spans="1:8" x14ac:dyDescent="0.2">
      <c r="A20" s="5"/>
      <c r="B20" s="6"/>
      <c r="C20" s="7"/>
      <c r="D20" s="7"/>
      <c r="E20" s="8"/>
      <c r="F20" s="8"/>
      <c r="G20" s="8"/>
      <c r="H20" s="8"/>
    </row>
    <row r="21" spans="1:8" x14ac:dyDescent="0.2">
      <c r="A21" s="5"/>
      <c r="B21" s="6"/>
      <c r="E21" s="8"/>
      <c r="F21" s="8"/>
      <c r="G21" s="8"/>
    </row>
    <row r="22" spans="1:8" x14ac:dyDescent="0.2">
      <c r="A22" s="5">
        <v>1</v>
      </c>
      <c r="B22" s="6">
        <v>12</v>
      </c>
      <c r="C22" s="7">
        <v>0.59</v>
      </c>
      <c r="D22" s="7">
        <v>0.73499999999999999</v>
      </c>
      <c r="E22" s="8">
        <v>0.56399999999999995</v>
      </c>
      <c r="F22" s="8">
        <v>0.57399999999999995</v>
      </c>
      <c r="G22" s="8">
        <v>0.56299999999999994</v>
      </c>
      <c r="H22" s="8">
        <v>0.67400000000000004</v>
      </c>
    </row>
    <row r="23" spans="1:8" x14ac:dyDescent="0.2">
      <c r="A23" s="5">
        <v>2</v>
      </c>
      <c r="B23" s="6">
        <v>12</v>
      </c>
      <c r="C23" s="7">
        <v>0.61799999999999999</v>
      </c>
      <c r="D23" s="7">
        <v>0.77</v>
      </c>
      <c r="E23" s="8">
        <v>0.51200000000000001</v>
      </c>
      <c r="F23" s="8">
        <v>0.57299999999999995</v>
      </c>
      <c r="G23" s="8">
        <v>0.59599999999999997</v>
      </c>
      <c r="H23" s="8">
        <v>0.63900000000000001</v>
      </c>
    </row>
    <row r="24" spans="1:8" x14ac:dyDescent="0.2">
      <c r="A24" s="5">
        <v>3</v>
      </c>
      <c r="B24" s="6">
        <v>12</v>
      </c>
      <c r="C24" s="7">
        <v>0.56399999999999995</v>
      </c>
      <c r="D24" s="7">
        <v>0.74</v>
      </c>
      <c r="E24" s="8">
        <v>0.504</v>
      </c>
      <c r="F24" s="8">
        <v>0.58699999999999997</v>
      </c>
      <c r="G24" s="8">
        <v>0.61699999999999999</v>
      </c>
      <c r="H24" s="8">
        <v>0.629</v>
      </c>
    </row>
    <row r="25" spans="1:8" x14ac:dyDescent="0.2">
      <c r="A25" s="5">
        <v>4</v>
      </c>
      <c r="B25" s="6">
        <v>12</v>
      </c>
      <c r="C25" s="7">
        <v>0.53500000000000003</v>
      </c>
      <c r="D25" s="7">
        <v>0.76300000000000001</v>
      </c>
      <c r="E25" s="8">
        <v>0.52900000000000003</v>
      </c>
      <c r="F25" s="8">
        <v>0.57399999999999995</v>
      </c>
      <c r="G25" s="8">
        <v>0.60299999999999998</v>
      </c>
      <c r="H25" s="8">
        <v>0.63400000000000001</v>
      </c>
    </row>
    <row r="26" spans="1:8" x14ac:dyDescent="0.2">
      <c r="A26" s="5"/>
      <c r="B26" s="6"/>
      <c r="C26" s="7"/>
      <c r="D26" s="7"/>
      <c r="E26" s="8"/>
      <c r="F26" s="8"/>
      <c r="G26" s="8"/>
      <c r="H26" s="8"/>
    </row>
    <row r="27" spans="1:8" x14ac:dyDescent="0.2">
      <c r="A27" s="5"/>
      <c r="B27" s="6"/>
      <c r="E27" s="8"/>
      <c r="F27" s="8"/>
      <c r="G27" s="8"/>
    </row>
    <row r="28" spans="1:8" x14ac:dyDescent="0.2">
      <c r="A28" s="5">
        <v>1</v>
      </c>
      <c r="B28" s="6">
        <v>16</v>
      </c>
      <c r="C28" s="7">
        <v>0.59199999999999997</v>
      </c>
      <c r="D28" s="7">
        <v>0.74</v>
      </c>
      <c r="E28" s="8">
        <v>0.55900000000000005</v>
      </c>
      <c r="F28" s="8">
        <v>0.58099999999999996</v>
      </c>
      <c r="G28" s="8">
        <v>0.56299999999999994</v>
      </c>
      <c r="H28" s="8">
        <v>0.67300000000000004</v>
      </c>
    </row>
    <row r="29" spans="1:8" x14ac:dyDescent="0.2">
      <c r="A29" s="5">
        <v>2</v>
      </c>
      <c r="B29" s="6">
        <v>16</v>
      </c>
      <c r="C29" s="7">
        <v>0.61699999999999999</v>
      </c>
      <c r="D29" s="7">
        <v>0.77100000000000002</v>
      </c>
      <c r="E29" s="8">
        <v>0.51200000000000001</v>
      </c>
      <c r="F29" s="8">
        <v>0.58099999999999996</v>
      </c>
      <c r="G29" s="8">
        <v>0.58499999999999996</v>
      </c>
      <c r="H29" s="8">
        <v>0.63500000000000001</v>
      </c>
    </row>
    <row r="30" spans="1:8" x14ac:dyDescent="0.2">
      <c r="A30" s="5">
        <v>3</v>
      </c>
      <c r="B30" s="6">
        <v>16</v>
      </c>
      <c r="C30" s="7">
        <v>0.56499999999999995</v>
      </c>
      <c r="D30" s="7">
        <v>0.755</v>
      </c>
      <c r="E30" s="8">
        <v>0.50700000000000001</v>
      </c>
      <c r="F30" s="8">
        <v>0.58399999999999996</v>
      </c>
      <c r="G30" s="8">
        <v>0.625</v>
      </c>
      <c r="H30" s="8">
        <v>0.627</v>
      </c>
    </row>
    <row r="31" spans="1:8" x14ac:dyDescent="0.2">
      <c r="A31" s="5">
        <v>4</v>
      </c>
      <c r="B31" s="6">
        <v>16</v>
      </c>
      <c r="C31" s="7">
        <v>0.53100000000000003</v>
      </c>
      <c r="D31" s="7">
        <v>0.76500000000000001</v>
      </c>
      <c r="E31" s="8">
        <v>0.53300000000000003</v>
      </c>
      <c r="F31" s="8">
        <v>0.56399999999999995</v>
      </c>
      <c r="G31" s="8">
        <v>0.6</v>
      </c>
      <c r="H31" s="8">
        <v>0.63100000000000001</v>
      </c>
    </row>
    <row r="32" spans="1:8" x14ac:dyDescent="0.2">
      <c r="A32" s="5"/>
      <c r="B32" s="6"/>
      <c r="C32" s="7"/>
      <c r="D32" s="7"/>
      <c r="E32" s="8"/>
      <c r="F32" s="8"/>
      <c r="G32" s="8"/>
      <c r="H32" s="8"/>
    </row>
    <row r="33" spans="1:8" x14ac:dyDescent="0.2">
      <c r="A33" s="5"/>
      <c r="B33" s="6"/>
      <c r="E33" s="8"/>
      <c r="F33" s="8"/>
      <c r="G33" s="8"/>
    </row>
    <row r="34" spans="1:8" x14ac:dyDescent="0.2">
      <c r="A34" s="5">
        <v>1</v>
      </c>
      <c r="B34" s="6">
        <v>20</v>
      </c>
      <c r="C34" s="7">
        <v>0.58699999999999997</v>
      </c>
      <c r="D34" s="7">
        <v>0.74099999999999999</v>
      </c>
      <c r="E34" s="8">
        <v>0.56100000000000005</v>
      </c>
      <c r="F34" s="8">
        <v>0.6</v>
      </c>
      <c r="G34" s="8">
        <v>0.56200000000000006</v>
      </c>
      <c r="H34" s="8">
        <v>0.66700000000000004</v>
      </c>
    </row>
    <row r="35" spans="1:8" x14ac:dyDescent="0.2">
      <c r="A35" s="5">
        <v>2</v>
      </c>
      <c r="B35" s="6">
        <v>20</v>
      </c>
      <c r="C35" s="7">
        <v>0.62</v>
      </c>
      <c r="D35" s="7">
        <v>0.77500000000000002</v>
      </c>
      <c r="E35" s="8">
        <v>0.505</v>
      </c>
      <c r="F35" s="8">
        <v>0.58799999999999997</v>
      </c>
      <c r="G35" s="8">
        <v>0.59</v>
      </c>
      <c r="H35" s="8">
        <v>0.627</v>
      </c>
    </row>
    <row r="36" spans="1:8" x14ac:dyDescent="0.2">
      <c r="A36" s="5">
        <v>3</v>
      </c>
      <c r="B36" s="6">
        <v>20</v>
      </c>
      <c r="C36" s="7">
        <v>0.56999999999999995</v>
      </c>
      <c r="D36" s="7">
        <v>0.74299999999999999</v>
      </c>
      <c r="E36" s="8">
        <v>0.503</v>
      </c>
      <c r="F36" s="8">
        <v>0.59899999999999998</v>
      </c>
      <c r="G36" s="8">
        <v>0.622</v>
      </c>
      <c r="H36" s="8">
        <v>0.629</v>
      </c>
    </row>
    <row r="37" spans="1:8" x14ac:dyDescent="0.2">
      <c r="A37" s="5">
        <v>4</v>
      </c>
      <c r="B37" s="6">
        <v>20</v>
      </c>
      <c r="C37" s="7">
        <v>0.53100000000000003</v>
      </c>
      <c r="D37" s="7">
        <v>0.76500000000000001</v>
      </c>
      <c r="E37" s="8">
        <v>0.53200000000000003</v>
      </c>
      <c r="F37" s="8">
        <v>0.56299999999999994</v>
      </c>
      <c r="G37" s="8">
        <v>0.59799999999999998</v>
      </c>
      <c r="H37" s="8">
        <v>0.63700000000000001</v>
      </c>
    </row>
    <row r="38" spans="1:8" x14ac:dyDescent="0.2">
      <c r="A38" s="5"/>
      <c r="B38" s="6"/>
      <c r="C38" s="7"/>
      <c r="D38" s="7"/>
      <c r="E38" s="8"/>
      <c r="F38" s="8"/>
      <c r="G38" s="8"/>
      <c r="H38" s="8"/>
    </row>
    <row r="39" spans="1:8" x14ac:dyDescent="0.2">
      <c r="A39" s="5"/>
      <c r="B39" s="6"/>
      <c r="E39" s="8"/>
      <c r="F39" s="8"/>
      <c r="G39" s="8"/>
    </row>
    <row r="40" spans="1:8" x14ac:dyDescent="0.2">
      <c r="A40" s="5"/>
      <c r="B40" s="6"/>
      <c r="C40" s="7"/>
      <c r="D40" s="7"/>
      <c r="E40" s="8"/>
      <c r="F40" s="8"/>
      <c r="G40" s="8"/>
      <c r="H40" s="8"/>
    </row>
    <row r="41" spans="1:8" x14ac:dyDescent="0.2">
      <c r="A41" s="5"/>
      <c r="B41" s="6"/>
      <c r="C41" s="7"/>
      <c r="D41" s="7"/>
      <c r="E41" s="8"/>
      <c r="F41" s="8"/>
      <c r="G41" s="8"/>
      <c r="H41" s="8"/>
    </row>
    <row r="42" spans="1:8" x14ac:dyDescent="0.2">
      <c r="A42" s="5"/>
      <c r="B42" s="6"/>
      <c r="C42" s="7"/>
      <c r="D42" s="7"/>
      <c r="E42" s="8"/>
      <c r="F42" s="8"/>
      <c r="G42" s="8"/>
      <c r="H42" s="8"/>
    </row>
    <row r="43" spans="1:8" x14ac:dyDescent="0.2">
      <c r="A43" s="5"/>
      <c r="B43" s="6"/>
      <c r="C43" s="7"/>
      <c r="D43" s="7"/>
      <c r="E43" s="8"/>
      <c r="F43" s="8"/>
      <c r="G43" s="8"/>
      <c r="H43" s="8"/>
    </row>
    <row r="44" spans="1:8" x14ac:dyDescent="0.2">
      <c r="A44" s="5"/>
      <c r="B44" s="6"/>
      <c r="C44" s="7"/>
      <c r="D44" s="7"/>
      <c r="E44" s="8"/>
      <c r="F44" s="8"/>
      <c r="G44" s="8"/>
      <c r="H44" s="8"/>
    </row>
    <row r="45" spans="1:8" x14ac:dyDescent="0.2">
      <c r="A45" s="5"/>
      <c r="B45" s="6"/>
      <c r="E45" s="9"/>
      <c r="F45" s="9"/>
    </row>
    <row r="46" spans="1:8" x14ac:dyDescent="0.2">
      <c r="A46" s="5"/>
      <c r="B46" s="6"/>
      <c r="C46" s="9"/>
      <c r="D46" s="9"/>
      <c r="E46" s="9"/>
      <c r="F46" s="9"/>
      <c r="G46" s="7"/>
      <c r="H46" s="7"/>
    </row>
    <row r="47" spans="1:8" x14ac:dyDescent="0.2">
      <c r="A47" s="5"/>
      <c r="B47" s="6"/>
      <c r="C47" s="9"/>
      <c r="D47" s="9"/>
      <c r="E47" s="9"/>
      <c r="F47" s="9"/>
      <c r="G47" s="7"/>
      <c r="H47" s="7"/>
    </row>
    <row r="48" spans="1:8" x14ac:dyDescent="0.2">
      <c r="A48" s="5"/>
      <c r="B48" s="6"/>
      <c r="C48" s="9"/>
      <c r="D48" s="9"/>
      <c r="E48" s="9"/>
      <c r="F48" s="9"/>
      <c r="G48" s="7"/>
      <c r="H48" s="7"/>
    </row>
    <row r="49" spans="1:8" x14ac:dyDescent="0.2">
      <c r="A49" s="5"/>
      <c r="B49" s="6"/>
      <c r="C49" s="9"/>
      <c r="D49" s="9"/>
      <c r="E49" s="9"/>
      <c r="F49" s="9"/>
      <c r="G49" s="7"/>
      <c r="H49" s="7"/>
    </row>
    <row r="50" spans="1:8" x14ac:dyDescent="0.2">
      <c r="A50" s="5"/>
      <c r="B50" s="6"/>
      <c r="C50" s="9"/>
      <c r="D50" s="9"/>
      <c r="E50" s="9"/>
      <c r="F50" s="9"/>
      <c r="G50" s="7"/>
      <c r="H50" s="7"/>
    </row>
    <row r="51" spans="1:8" x14ac:dyDescent="0.2">
      <c r="A51" s="5"/>
      <c r="B51" s="6"/>
      <c r="C51" s="6"/>
      <c r="D51" s="6"/>
      <c r="E51" s="6"/>
      <c r="F51" s="6"/>
      <c r="G51" s="5"/>
      <c r="H51" s="5"/>
    </row>
    <row r="52" spans="1:8" x14ac:dyDescent="0.2">
      <c r="A52" s="5"/>
      <c r="B52" s="6"/>
      <c r="C52" s="6"/>
      <c r="D52" s="6"/>
      <c r="E52" s="6"/>
      <c r="F52" s="6"/>
      <c r="G52" s="5"/>
      <c r="H52" s="5"/>
    </row>
    <row r="53" spans="1:8" x14ac:dyDescent="0.2">
      <c r="A53" s="10" t="s">
        <v>3</v>
      </c>
      <c r="B53" s="10"/>
      <c r="C53" s="10"/>
      <c r="D53" s="10"/>
      <c r="E53" s="10"/>
      <c r="F53" s="2"/>
      <c r="G53" s="2"/>
      <c r="H53" s="2"/>
    </row>
    <row r="54" spans="1:8" ht="34" x14ac:dyDescent="0.2">
      <c r="A54" s="2" t="s">
        <v>1</v>
      </c>
      <c r="B54" s="3" t="s">
        <v>2</v>
      </c>
      <c r="C54" s="3" t="s">
        <v>8</v>
      </c>
      <c r="D54" s="3" t="s">
        <v>9</v>
      </c>
      <c r="E54" s="3" t="s">
        <v>10</v>
      </c>
      <c r="F54" s="3" t="s">
        <v>11</v>
      </c>
      <c r="G54" s="3" t="s">
        <v>12</v>
      </c>
      <c r="H54" s="3" t="s">
        <v>13</v>
      </c>
    </row>
    <row r="55" spans="1:8" x14ac:dyDescent="0.2">
      <c r="A55" s="5">
        <v>1</v>
      </c>
      <c r="B55" s="6">
        <v>0</v>
      </c>
      <c r="C55" s="11">
        <f t="shared" ref="C55:H59" si="0" xml:space="preserve"> (C4-C4)/32.258</f>
        <v>0</v>
      </c>
      <c r="D55" s="11">
        <f t="shared" si="0"/>
        <v>0</v>
      </c>
      <c r="E55" s="11">
        <f t="shared" si="0"/>
        <v>0</v>
      </c>
      <c r="F55" s="11">
        <f t="shared" si="0"/>
        <v>0</v>
      </c>
      <c r="G55" s="11">
        <f t="shared" si="0"/>
        <v>0</v>
      </c>
      <c r="H55" s="11">
        <f t="shared" si="0"/>
        <v>0</v>
      </c>
    </row>
    <row r="56" spans="1:8" x14ac:dyDescent="0.2">
      <c r="A56" s="5">
        <v>2</v>
      </c>
      <c r="B56" s="6">
        <v>0</v>
      </c>
      <c r="C56" s="11">
        <f t="shared" si="0"/>
        <v>0</v>
      </c>
      <c r="D56" s="11">
        <f t="shared" si="0"/>
        <v>0</v>
      </c>
      <c r="E56" s="11">
        <f t="shared" si="0"/>
        <v>0</v>
      </c>
      <c r="F56" s="11">
        <f t="shared" si="0"/>
        <v>0</v>
      </c>
      <c r="G56" s="11">
        <f t="shared" si="0"/>
        <v>0</v>
      </c>
      <c r="H56" s="11">
        <f t="shared" si="0"/>
        <v>0</v>
      </c>
    </row>
    <row r="57" spans="1:8" x14ac:dyDescent="0.2">
      <c r="A57" s="5">
        <v>3</v>
      </c>
      <c r="B57" s="6">
        <v>0</v>
      </c>
      <c r="C57" s="11">
        <f t="shared" si="0"/>
        <v>0</v>
      </c>
      <c r="D57" s="11">
        <f t="shared" si="0"/>
        <v>0</v>
      </c>
      <c r="E57" s="11">
        <f t="shared" si="0"/>
        <v>0</v>
      </c>
      <c r="F57" s="11">
        <f t="shared" si="0"/>
        <v>0</v>
      </c>
      <c r="G57" s="11">
        <f t="shared" si="0"/>
        <v>0</v>
      </c>
      <c r="H57" s="11">
        <f t="shared" si="0"/>
        <v>0</v>
      </c>
    </row>
    <row r="58" spans="1:8" x14ac:dyDescent="0.2">
      <c r="A58" s="5">
        <v>4</v>
      </c>
      <c r="B58" s="6">
        <v>0</v>
      </c>
      <c r="C58" s="11">
        <f t="shared" si="0"/>
        <v>0</v>
      </c>
      <c r="D58" s="11">
        <f t="shared" si="0"/>
        <v>0</v>
      </c>
      <c r="E58" s="11">
        <f t="shared" si="0"/>
        <v>0</v>
      </c>
      <c r="F58" s="11">
        <f t="shared" si="0"/>
        <v>0</v>
      </c>
      <c r="G58" s="11">
        <f t="shared" si="0"/>
        <v>0</v>
      </c>
      <c r="H58" s="11">
        <f t="shared" si="0"/>
        <v>0</v>
      </c>
    </row>
    <row r="59" spans="1:8" x14ac:dyDescent="0.2">
      <c r="A59" s="5"/>
      <c r="B59" s="6"/>
      <c r="C59" s="11"/>
      <c r="D59" s="11"/>
      <c r="E59" s="11"/>
      <c r="F59" s="11"/>
      <c r="G59" s="11"/>
      <c r="H59" s="11"/>
    </row>
    <row r="60" spans="1:8" x14ac:dyDescent="0.2">
      <c r="A60" s="5"/>
      <c r="B60" s="6"/>
      <c r="C60" s="11"/>
      <c r="D60" s="11"/>
      <c r="E60" s="11"/>
      <c r="F60" s="11"/>
      <c r="G60" s="11"/>
      <c r="H60" s="11"/>
    </row>
    <row r="61" spans="1:8" x14ac:dyDescent="0.2">
      <c r="A61" s="5">
        <v>1</v>
      </c>
      <c r="B61" s="6">
        <v>4</v>
      </c>
      <c r="C61" s="11">
        <f t="shared" ref="C61:H65" si="1" xml:space="preserve"> (C10-C4)/32.258</f>
        <v>6.9750139500278988E-3</v>
      </c>
      <c r="D61" s="11">
        <f t="shared" si="1"/>
        <v>8.3390166780333546E-3</v>
      </c>
      <c r="E61" s="11">
        <f t="shared" si="1"/>
        <v>6.2620125240250499E-3</v>
      </c>
      <c r="F61" s="11">
        <f t="shared" si="1"/>
        <v>7.2850145700291387E-3</v>
      </c>
      <c r="G61" s="11">
        <f t="shared" si="1"/>
        <v>6.4790129580259174E-3</v>
      </c>
      <c r="H61" s="11">
        <f t="shared" si="1"/>
        <v>7.7190154380308773E-3</v>
      </c>
    </row>
    <row r="62" spans="1:8" x14ac:dyDescent="0.2">
      <c r="A62" s="5">
        <v>2</v>
      </c>
      <c r="B62" s="6">
        <v>4</v>
      </c>
      <c r="C62" s="11">
        <f t="shared" si="1"/>
        <v>7.0680141360282712E-3</v>
      </c>
      <c r="D62" s="11">
        <f t="shared" si="1"/>
        <v>8.5560171120342247E-3</v>
      </c>
      <c r="E62" s="11">
        <f t="shared" si="1"/>
        <v>5.4560109120218234E-3</v>
      </c>
      <c r="F62" s="11">
        <f t="shared" si="1"/>
        <v>6.8510137020274028E-3</v>
      </c>
      <c r="G62" s="11">
        <f t="shared" si="1"/>
        <v>6.8200136400272783E-3</v>
      </c>
      <c r="H62" s="11">
        <f t="shared" si="1"/>
        <v>6.6650133300266588E-3</v>
      </c>
    </row>
    <row r="63" spans="1:8" x14ac:dyDescent="0.2">
      <c r="A63" s="5">
        <v>3</v>
      </c>
      <c r="B63" s="6">
        <v>4</v>
      </c>
      <c r="C63" s="11">
        <f t="shared" si="1"/>
        <v>6.0450120900241815E-3</v>
      </c>
      <c r="D63" s="11">
        <f t="shared" si="1"/>
        <v>7.8740157480314942E-3</v>
      </c>
      <c r="E63" s="11">
        <f t="shared" si="1"/>
        <v>6.0450120900241797E-3</v>
      </c>
      <c r="F63" s="11">
        <f t="shared" si="1"/>
        <v>6.5100130200260384E-3</v>
      </c>
      <c r="G63" s="11">
        <f t="shared" si="1"/>
        <v>7.1300142600285192E-3</v>
      </c>
      <c r="H63" s="11">
        <f t="shared" si="1"/>
        <v>6.1070122140244277E-3</v>
      </c>
    </row>
    <row r="64" spans="1:8" x14ac:dyDescent="0.2">
      <c r="A64" s="5">
        <v>4</v>
      </c>
      <c r="B64" s="6">
        <v>4</v>
      </c>
      <c r="C64" s="11">
        <f t="shared" si="1"/>
        <v>5.8280116560233113E-3</v>
      </c>
      <c r="D64" s="11">
        <f t="shared" si="1"/>
        <v>8.7420174840349661E-3</v>
      </c>
      <c r="E64" s="11">
        <f t="shared" si="1"/>
        <v>6.2000124000248001E-3</v>
      </c>
      <c r="F64" s="11">
        <f t="shared" si="1"/>
        <v>6.6030132060264143E-3</v>
      </c>
      <c r="G64" s="11">
        <f t="shared" si="1"/>
        <v>7.2230144460288907E-3</v>
      </c>
      <c r="H64" s="11">
        <f t="shared" si="1"/>
        <v>6.2000124000248001E-3</v>
      </c>
    </row>
    <row r="65" spans="1:8" x14ac:dyDescent="0.2">
      <c r="A65" s="5"/>
      <c r="B65" s="6"/>
      <c r="C65" s="11"/>
      <c r="D65" s="11"/>
      <c r="E65" s="11"/>
      <c r="F65" s="11"/>
      <c r="G65" s="11"/>
      <c r="H65" s="11"/>
    </row>
    <row r="66" spans="1:8" x14ac:dyDescent="0.2">
      <c r="A66" s="5"/>
      <c r="B66" s="6"/>
      <c r="C66" s="11"/>
      <c r="D66" s="11"/>
      <c r="E66" s="11"/>
      <c r="F66" s="11"/>
      <c r="G66" s="11"/>
      <c r="H66" s="11"/>
    </row>
    <row r="67" spans="1:8" x14ac:dyDescent="0.2">
      <c r="A67" s="5">
        <v>1</v>
      </c>
      <c r="B67" s="6">
        <v>8</v>
      </c>
      <c r="C67" s="11">
        <f t="shared" ref="C67:H71" si="2" xml:space="preserve"> (C16-C4)/32.258</f>
        <v>6.8820137640275263E-3</v>
      </c>
      <c r="D67" s="11">
        <f t="shared" si="2"/>
        <v>8.8660177320354621E-3</v>
      </c>
      <c r="E67" s="11">
        <f t="shared" si="2"/>
        <v>6.4480128960257939E-3</v>
      </c>
      <c r="F67" s="11">
        <f t="shared" si="2"/>
        <v>7.2230144460288907E-3</v>
      </c>
      <c r="G67" s="11">
        <f t="shared" si="2"/>
        <v>6.5100130200260418E-3</v>
      </c>
      <c r="H67" s="11">
        <f t="shared" si="2"/>
        <v>8.2150164300328621E-3</v>
      </c>
    </row>
    <row r="68" spans="1:8" x14ac:dyDescent="0.2">
      <c r="A68" s="5">
        <v>2</v>
      </c>
      <c r="B68" s="6">
        <v>8</v>
      </c>
      <c r="C68" s="11">
        <f t="shared" si="2"/>
        <v>7.5950151900303796E-3</v>
      </c>
      <c r="D68" s="11">
        <f t="shared" si="2"/>
        <v>9.4860189720379455E-3</v>
      </c>
      <c r="E68" s="11">
        <f t="shared" si="2"/>
        <v>5.4250108500216989E-3</v>
      </c>
      <c r="F68" s="11">
        <f t="shared" si="2"/>
        <v>6.9130138260276508E-3</v>
      </c>
      <c r="G68" s="11">
        <f t="shared" si="2"/>
        <v>7.0370140740281467E-3</v>
      </c>
      <c r="H68" s="11">
        <f t="shared" si="2"/>
        <v>7.5020150040300071E-3</v>
      </c>
    </row>
    <row r="69" spans="1:8" x14ac:dyDescent="0.2">
      <c r="A69" s="5">
        <v>3</v>
      </c>
      <c r="B69" s="6">
        <v>8</v>
      </c>
      <c r="C69" s="11">
        <f t="shared" si="2"/>
        <v>6.5720131440262864E-3</v>
      </c>
      <c r="D69" s="11">
        <f t="shared" si="2"/>
        <v>8.7730175460350897E-3</v>
      </c>
      <c r="E69" s="11">
        <f t="shared" si="2"/>
        <v>6.0450120900241797E-3</v>
      </c>
      <c r="F69" s="11">
        <f t="shared" si="2"/>
        <v>6.7270134540269068E-3</v>
      </c>
      <c r="G69" s="11">
        <f t="shared" si="2"/>
        <v>7.3780147560295111E-3</v>
      </c>
      <c r="H69" s="11">
        <f t="shared" si="2"/>
        <v>6.7890135780271565E-3</v>
      </c>
    </row>
    <row r="70" spans="1:8" x14ac:dyDescent="0.2">
      <c r="A70" s="5">
        <v>4</v>
      </c>
      <c r="B70" s="6">
        <v>8</v>
      </c>
      <c r="C70" s="11">
        <f t="shared" si="2"/>
        <v>5.8900117800235593E-3</v>
      </c>
      <c r="D70" s="11">
        <f t="shared" si="2"/>
        <v>9.0210180420360834E-3</v>
      </c>
      <c r="E70" s="11">
        <f t="shared" si="2"/>
        <v>6.3860127720255441E-3</v>
      </c>
      <c r="F70" s="11">
        <f t="shared" si="2"/>
        <v>6.5720131440262898E-3</v>
      </c>
      <c r="G70" s="11">
        <f t="shared" si="2"/>
        <v>7.2850145700291387E-3</v>
      </c>
      <c r="H70" s="11">
        <f t="shared" si="2"/>
        <v>7.0680141360282729E-3</v>
      </c>
    </row>
    <row r="71" spans="1:8" x14ac:dyDescent="0.2">
      <c r="A71" s="5"/>
      <c r="B71" s="6"/>
      <c r="C71" s="11"/>
      <c r="D71" s="11"/>
      <c r="E71" s="11"/>
      <c r="F71" s="11"/>
      <c r="G71" s="11"/>
      <c r="H71" s="11"/>
    </row>
    <row r="72" spans="1:8" x14ac:dyDescent="0.2">
      <c r="A72" s="5"/>
      <c r="B72" s="6"/>
      <c r="C72" s="11"/>
      <c r="D72" s="11"/>
      <c r="E72" s="11"/>
      <c r="F72" s="11"/>
      <c r="G72" s="11"/>
      <c r="H72" s="11"/>
    </row>
    <row r="73" spans="1:8" x14ac:dyDescent="0.2">
      <c r="A73" s="5">
        <v>1</v>
      </c>
      <c r="B73" s="6">
        <v>12</v>
      </c>
      <c r="C73" s="11">
        <f t="shared" ref="C73:H77" si="3" xml:space="preserve"> (C22-C4)/32.258</f>
        <v>6.8510137020274028E-3</v>
      </c>
      <c r="D73" s="11">
        <f t="shared" si="3"/>
        <v>8.9590179180358345E-3</v>
      </c>
      <c r="E73" s="11">
        <f t="shared" si="3"/>
        <v>6.5410130820261628E-3</v>
      </c>
      <c r="F73" s="11">
        <f t="shared" si="3"/>
        <v>7.0060140120280232E-3</v>
      </c>
      <c r="G73" s="11">
        <f t="shared" si="3"/>
        <v>6.5410130820261628E-3</v>
      </c>
      <c r="H73" s="11">
        <f t="shared" si="3"/>
        <v>7.9980159960319937E-3</v>
      </c>
    </row>
    <row r="74" spans="1:8" x14ac:dyDescent="0.2">
      <c r="A74" s="5">
        <v>2</v>
      </c>
      <c r="B74" s="6">
        <v>12</v>
      </c>
      <c r="C74" s="11">
        <f t="shared" si="3"/>
        <v>7.3160146320292632E-3</v>
      </c>
      <c r="D74" s="11">
        <f t="shared" si="3"/>
        <v>9.1140182280364558E-3</v>
      </c>
      <c r="E74" s="11">
        <f t="shared" si="3"/>
        <v>5.7040114080228153E-3</v>
      </c>
      <c r="F74" s="11">
        <f t="shared" si="3"/>
        <v>6.8820137640275263E-3</v>
      </c>
      <c r="G74" s="11">
        <f t="shared" si="3"/>
        <v>7.4400148800297591E-3</v>
      </c>
      <c r="H74" s="11">
        <f t="shared" si="3"/>
        <v>7.3470146940293867E-3</v>
      </c>
    </row>
    <row r="75" spans="1:8" x14ac:dyDescent="0.2">
      <c r="A75" s="5">
        <v>3</v>
      </c>
      <c r="B75" s="6">
        <v>12</v>
      </c>
      <c r="C75" s="11">
        <f t="shared" si="3"/>
        <v>6.417012834025666E-3</v>
      </c>
      <c r="D75" s="11">
        <f t="shared" si="3"/>
        <v>8.5870171740343466E-3</v>
      </c>
      <c r="E75" s="11">
        <f t="shared" si="3"/>
        <v>5.8280116560233113E-3</v>
      </c>
      <c r="F75" s="11">
        <f t="shared" si="3"/>
        <v>6.7890135780271548E-3</v>
      </c>
      <c r="G75" s="11">
        <f t="shared" si="3"/>
        <v>7.2850145700291387E-3</v>
      </c>
      <c r="H75" s="11">
        <f t="shared" si="3"/>
        <v>6.6030132060264125E-3</v>
      </c>
    </row>
    <row r="76" spans="1:8" x14ac:dyDescent="0.2">
      <c r="A76" s="5">
        <v>4</v>
      </c>
      <c r="B76" s="6">
        <v>12</v>
      </c>
      <c r="C76" s="11">
        <f t="shared" si="3"/>
        <v>6.1380122760245522E-3</v>
      </c>
      <c r="D76" s="11">
        <f t="shared" si="3"/>
        <v>9.1760183520367029E-3</v>
      </c>
      <c r="E76" s="11">
        <f t="shared" si="3"/>
        <v>6.2930125860251717E-3</v>
      </c>
      <c r="F76" s="11">
        <f t="shared" si="3"/>
        <v>6.9750139500278988E-3</v>
      </c>
      <c r="G76" s="11">
        <f t="shared" si="3"/>
        <v>7.4710149420298836E-3</v>
      </c>
      <c r="H76" s="11">
        <f t="shared" si="3"/>
        <v>6.7580135160270321E-3</v>
      </c>
    </row>
    <row r="77" spans="1:8" x14ac:dyDescent="0.2">
      <c r="A77" s="5"/>
      <c r="B77" s="6"/>
      <c r="C77" s="11"/>
      <c r="D77" s="11"/>
      <c r="E77" s="11"/>
      <c r="F77" s="11"/>
      <c r="G77" s="11"/>
      <c r="H77" s="11"/>
    </row>
    <row r="78" spans="1:8" x14ac:dyDescent="0.2">
      <c r="A78" s="5"/>
      <c r="B78" s="6"/>
      <c r="C78" s="11"/>
      <c r="D78" s="11"/>
      <c r="E78" s="11"/>
      <c r="F78" s="11"/>
      <c r="G78" s="11"/>
      <c r="H78" s="11"/>
    </row>
    <row r="79" spans="1:8" x14ac:dyDescent="0.2">
      <c r="A79" s="5">
        <v>1</v>
      </c>
      <c r="B79" s="6">
        <v>16</v>
      </c>
      <c r="C79" s="11">
        <f t="shared" ref="C79:H83" si="4" xml:space="preserve"> (C28-C4)/32.258</f>
        <v>6.9130138260276508E-3</v>
      </c>
      <c r="D79" s="11">
        <f t="shared" si="4"/>
        <v>9.1140182280364541E-3</v>
      </c>
      <c r="E79" s="11">
        <f t="shared" si="4"/>
        <v>6.3860127720255459E-3</v>
      </c>
      <c r="F79" s="11">
        <f t="shared" si="4"/>
        <v>7.2230144460288907E-3</v>
      </c>
      <c r="G79" s="11">
        <f t="shared" si="4"/>
        <v>6.5410130820261628E-3</v>
      </c>
      <c r="H79" s="11">
        <f t="shared" si="4"/>
        <v>7.9670159340318701E-3</v>
      </c>
    </row>
    <row r="80" spans="1:8" x14ac:dyDescent="0.2">
      <c r="A80" s="5">
        <v>2</v>
      </c>
      <c r="B80" s="6">
        <v>16</v>
      </c>
      <c r="C80" s="11">
        <f t="shared" si="4"/>
        <v>7.2850145700291387E-3</v>
      </c>
      <c r="D80" s="11">
        <f t="shared" si="4"/>
        <v>9.1450182900365811E-3</v>
      </c>
      <c r="E80" s="11">
        <f t="shared" si="4"/>
        <v>5.7040114080228153E-3</v>
      </c>
      <c r="F80" s="11">
        <f t="shared" si="4"/>
        <v>7.1300142600285192E-3</v>
      </c>
      <c r="G80" s="11">
        <f t="shared" si="4"/>
        <v>7.0990141980283947E-3</v>
      </c>
      <c r="H80" s="11">
        <f t="shared" si="4"/>
        <v>7.2230144460288907E-3</v>
      </c>
    </row>
    <row r="81" spans="1:8" x14ac:dyDescent="0.2">
      <c r="A81" s="5">
        <v>3</v>
      </c>
      <c r="B81" s="6">
        <v>16</v>
      </c>
      <c r="C81" s="11">
        <f t="shared" si="4"/>
        <v>6.4480128960257904E-3</v>
      </c>
      <c r="D81" s="11">
        <f t="shared" si="4"/>
        <v>9.0520181040362069E-3</v>
      </c>
      <c r="E81" s="11">
        <f t="shared" si="4"/>
        <v>5.9210118420236837E-3</v>
      </c>
      <c r="F81" s="11">
        <f t="shared" si="4"/>
        <v>6.6960133920267824E-3</v>
      </c>
      <c r="G81" s="11">
        <f t="shared" si="4"/>
        <v>7.5330150660301316E-3</v>
      </c>
      <c r="H81" s="11">
        <f t="shared" si="4"/>
        <v>6.5410130820261645E-3</v>
      </c>
    </row>
    <row r="82" spans="1:8" x14ac:dyDescent="0.2">
      <c r="A82" s="5">
        <v>4</v>
      </c>
      <c r="B82" s="6">
        <v>16</v>
      </c>
      <c r="C82" s="11">
        <f t="shared" si="4"/>
        <v>6.0140120280240553E-3</v>
      </c>
      <c r="D82" s="11">
        <f t="shared" si="4"/>
        <v>9.2380184760369501E-3</v>
      </c>
      <c r="E82" s="11">
        <f t="shared" si="4"/>
        <v>6.4170128340256677E-3</v>
      </c>
      <c r="F82" s="11">
        <f t="shared" si="4"/>
        <v>6.6650133300266588E-3</v>
      </c>
      <c r="G82" s="11">
        <f t="shared" si="4"/>
        <v>7.3780147560295111E-3</v>
      </c>
      <c r="H82" s="11">
        <f t="shared" si="4"/>
        <v>6.6650133300266605E-3</v>
      </c>
    </row>
    <row r="83" spans="1:8" x14ac:dyDescent="0.2">
      <c r="A83" s="5"/>
      <c r="B83" s="6"/>
      <c r="C83" s="11"/>
      <c r="D83" s="11"/>
      <c r="E83" s="11"/>
      <c r="F83" s="11"/>
      <c r="G83" s="11"/>
      <c r="H83" s="11"/>
    </row>
    <row r="84" spans="1:8" x14ac:dyDescent="0.2">
      <c r="A84" s="5"/>
      <c r="B84" s="6"/>
      <c r="C84" s="11"/>
      <c r="D84" s="11"/>
      <c r="E84" s="11"/>
      <c r="F84" s="11"/>
      <c r="G84" s="11"/>
      <c r="H84" s="11"/>
    </row>
    <row r="85" spans="1:8" x14ac:dyDescent="0.2">
      <c r="A85" s="5">
        <v>1</v>
      </c>
      <c r="B85" s="6">
        <v>20</v>
      </c>
      <c r="C85" s="11">
        <f t="shared" ref="C85:H89" si="5" xml:space="preserve"> (C34-C4)/32.258</f>
        <v>6.7580135160270303E-3</v>
      </c>
      <c r="D85" s="11">
        <f t="shared" si="5"/>
        <v>9.1450182900365794E-3</v>
      </c>
      <c r="E85" s="11">
        <f t="shared" si="5"/>
        <v>6.4480128960257939E-3</v>
      </c>
      <c r="F85" s="11">
        <f t="shared" si="5"/>
        <v>7.8120156240312471E-3</v>
      </c>
      <c r="G85" s="11">
        <f t="shared" si="5"/>
        <v>6.5100130200260418E-3</v>
      </c>
      <c r="H85" s="11">
        <f t="shared" si="5"/>
        <v>7.7810155620311253E-3</v>
      </c>
    </row>
    <row r="86" spans="1:8" x14ac:dyDescent="0.2">
      <c r="A86" s="5">
        <v>2</v>
      </c>
      <c r="B86" s="6">
        <v>20</v>
      </c>
      <c r="C86" s="11">
        <f t="shared" si="5"/>
        <v>7.3780147560295111E-3</v>
      </c>
      <c r="D86" s="11">
        <f t="shared" si="5"/>
        <v>9.2690185380370771E-3</v>
      </c>
      <c r="E86" s="11">
        <f t="shared" si="5"/>
        <v>5.4870109740219469E-3</v>
      </c>
      <c r="F86" s="11">
        <f t="shared" si="5"/>
        <v>7.3470146940293867E-3</v>
      </c>
      <c r="G86" s="11">
        <f t="shared" si="5"/>
        <v>7.2540145080290152E-3</v>
      </c>
      <c r="H86" s="11">
        <f t="shared" si="5"/>
        <v>6.9750139500278988E-3</v>
      </c>
    </row>
    <row r="87" spans="1:8" x14ac:dyDescent="0.2">
      <c r="A87" s="5">
        <v>3</v>
      </c>
      <c r="B87" s="6">
        <v>20</v>
      </c>
      <c r="C87" s="11">
        <f t="shared" si="5"/>
        <v>6.6030132060264108E-3</v>
      </c>
      <c r="D87" s="11">
        <f t="shared" si="5"/>
        <v>8.680017360034719E-3</v>
      </c>
      <c r="E87" s="11">
        <f t="shared" si="5"/>
        <v>5.7970115940231878E-3</v>
      </c>
      <c r="F87" s="11">
        <f t="shared" si="5"/>
        <v>7.1610143220286427E-3</v>
      </c>
      <c r="G87" s="11">
        <f t="shared" si="5"/>
        <v>7.4400148800297591E-3</v>
      </c>
      <c r="H87" s="11">
        <f t="shared" si="5"/>
        <v>6.6030132060264125E-3</v>
      </c>
    </row>
    <row r="88" spans="1:8" x14ac:dyDescent="0.2">
      <c r="A88" s="5">
        <v>4</v>
      </c>
      <c r="B88" s="6">
        <v>20</v>
      </c>
      <c r="C88" s="11">
        <f t="shared" si="5"/>
        <v>6.0140120280240553E-3</v>
      </c>
      <c r="D88" s="11">
        <f t="shared" si="5"/>
        <v>9.2380184760369501E-3</v>
      </c>
      <c r="E88" s="11">
        <f t="shared" si="5"/>
        <v>6.3860127720255441E-3</v>
      </c>
      <c r="F88" s="11">
        <f t="shared" si="5"/>
        <v>6.6340132680265344E-3</v>
      </c>
      <c r="G88" s="11">
        <f t="shared" si="5"/>
        <v>7.3160146320292632E-3</v>
      </c>
      <c r="H88" s="11">
        <f t="shared" si="5"/>
        <v>6.8510137020274045E-3</v>
      </c>
    </row>
    <row r="89" spans="1:8" x14ac:dyDescent="0.2">
      <c r="A89" s="5"/>
      <c r="B89" s="6"/>
      <c r="C89" s="11"/>
      <c r="D89" s="11"/>
      <c r="E89" s="11"/>
      <c r="F89" s="11"/>
      <c r="G89" s="11"/>
      <c r="H89" s="11"/>
    </row>
    <row r="90" spans="1:8" x14ac:dyDescent="0.2">
      <c r="A90" s="5"/>
      <c r="B90" s="6"/>
      <c r="C90" s="11"/>
      <c r="D90" s="11"/>
      <c r="E90" s="11"/>
      <c r="F90" s="11"/>
      <c r="G90" s="11"/>
      <c r="H90" s="11"/>
    </row>
    <row r="91" spans="1:8" x14ac:dyDescent="0.2">
      <c r="A91" s="5"/>
      <c r="B91" s="6"/>
      <c r="C91" s="11"/>
      <c r="D91" s="11"/>
      <c r="E91" s="11"/>
      <c r="F91" s="11"/>
      <c r="G91" s="11"/>
      <c r="H91" s="11"/>
    </row>
    <row r="92" spans="1:8" x14ac:dyDescent="0.2">
      <c r="A92" s="5"/>
      <c r="B92" s="6"/>
      <c r="C92" s="11"/>
      <c r="D92" s="11"/>
      <c r="E92" s="11"/>
      <c r="F92" s="11"/>
      <c r="G92" s="11"/>
      <c r="H92" s="11"/>
    </row>
    <row r="93" spans="1:8" x14ac:dyDescent="0.2">
      <c r="A93" s="5"/>
      <c r="B93" s="6"/>
      <c r="C93" s="11"/>
      <c r="D93" s="11"/>
      <c r="E93" s="11"/>
      <c r="F93" s="11"/>
      <c r="G93" s="11"/>
      <c r="H93" s="11"/>
    </row>
    <row r="94" spans="1:8" x14ac:dyDescent="0.2">
      <c r="A94" s="5"/>
      <c r="B94" s="6"/>
      <c r="C94" s="11"/>
      <c r="D94" s="11"/>
      <c r="E94" s="11"/>
      <c r="F94" s="11"/>
      <c r="G94" s="11"/>
      <c r="H94" s="11"/>
    </row>
    <row r="95" spans="1:8" x14ac:dyDescent="0.2">
      <c r="A95" s="5"/>
      <c r="B95" s="6"/>
      <c r="C95" s="11"/>
      <c r="D95" s="11"/>
      <c r="E95" s="11"/>
      <c r="F95" s="11"/>
      <c r="G95" s="11"/>
      <c r="H95" s="11"/>
    </row>
    <row r="96" spans="1:8" x14ac:dyDescent="0.2">
      <c r="A96" s="5"/>
      <c r="B96" s="6"/>
      <c r="C96" s="11"/>
      <c r="D96" s="11"/>
      <c r="E96" s="11"/>
      <c r="F96" s="11"/>
      <c r="G96" s="11"/>
      <c r="H96" s="11"/>
    </row>
    <row r="97" spans="1:8" x14ac:dyDescent="0.2">
      <c r="A97" s="5"/>
      <c r="B97" s="6"/>
      <c r="C97" s="11"/>
      <c r="D97" s="11"/>
      <c r="E97" s="11"/>
      <c r="F97" s="11"/>
      <c r="G97" s="11"/>
      <c r="H97" s="11"/>
    </row>
    <row r="98" spans="1:8" x14ac:dyDescent="0.2">
      <c r="A98" s="5"/>
      <c r="B98" s="6"/>
      <c r="C98" s="11"/>
      <c r="D98" s="11"/>
      <c r="E98" s="11"/>
      <c r="F98" s="11"/>
      <c r="G98" s="11"/>
      <c r="H98" s="11"/>
    </row>
    <row r="99" spans="1:8" x14ac:dyDescent="0.2">
      <c r="A99" s="5"/>
      <c r="B99" s="6"/>
      <c r="C99" s="11"/>
      <c r="D99" s="11"/>
      <c r="E99" s="11"/>
      <c r="F99" s="11"/>
      <c r="G99" s="11"/>
      <c r="H99" s="11"/>
    </row>
    <row r="100" spans="1:8" x14ac:dyDescent="0.2">
      <c r="A100" s="5"/>
      <c r="B100" s="6"/>
      <c r="C100" s="11"/>
      <c r="D100" s="11"/>
      <c r="E100" s="11"/>
      <c r="F100" s="11"/>
      <c r="G100" s="11"/>
      <c r="H100" s="11"/>
    </row>
    <row r="101" spans="1:8" x14ac:dyDescent="0.2">
      <c r="A101" s="5"/>
      <c r="B101" s="6"/>
      <c r="C101" s="11"/>
      <c r="D101" s="11"/>
      <c r="E101" s="11"/>
      <c r="F101" s="11"/>
      <c r="G101" s="11"/>
      <c r="H101" s="11"/>
    </row>
    <row r="102" spans="1:8" x14ac:dyDescent="0.2">
      <c r="A102" s="5"/>
      <c r="B102" s="6"/>
      <c r="C102" s="6"/>
      <c r="D102" s="6"/>
      <c r="E102" s="6"/>
      <c r="F102" s="6"/>
      <c r="G102" s="5"/>
      <c r="H102" s="5"/>
    </row>
    <row r="103" spans="1:8" x14ac:dyDescent="0.2">
      <c r="A103" s="5"/>
      <c r="B103" s="6"/>
      <c r="C103" s="6"/>
      <c r="D103" s="6"/>
      <c r="E103" s="6"/>
      <c r="F103" s="6"/>
      <c r="G103" s="5"/>
      <c r="H103" s="5"/>
    </row>
    <row r="104" spans="1:8" x14ac:dyDescent="0.2">
      <c r="A104" s="12" t="s">
        <v>4</v>
      </c>
      <c r="B104" s="12"/>
      <c r="C104" s="3"/>
      <c r="D104" s="3"/>
      <c r="E104" s="3"/>
      <c r="F104" s="2"/>
      <c r="G104" s="2"/>
      <c r="H104" s="2"/>
    </row>
    <row r="105" spans="1:8" ht="34" x14ac:dyDescent="0.2">
      <c r="A105" s="2"/>
      <c r="B105" s="3" t="s">
        <v>2</v>
      </c>
      <c r="C105" s="3" t="s">
        <v>8</v>
      </c>
      <c r="D105" s="3" t="s">
        <v>9</v>
      </c>
      <c r="E105" s="3" t="s">
        <v>10</v>
      </c>
      <c r="F105" s="3" t="s">
        <v>11</v>
      </c>
      <c r="G105" s="3" t="s">
        <v>12</v>
      </c>
      <c r="H105" s="3" t="s">
        <v>13</v>
      </c>
    </row>
    <row r="106" spans="1:8" x14ac:dyDescent="0.2">
      <c r="A106" s="5"/>
      <c r="B106" s="6">
        <v>0</v>
      </c>
      <c r="C106" s="13">
        <f t="shared" ref="C106:H106" si="6" xml:space="preserve"> AVERAGE(C55:C59)*10000</f>
        <v>0</v>
      </c>
      <c r="D106" s="13">
        <f t="shared" si="6"/>
        <v>0</v>
      </c>
      <c r="E106" s="13">
        <f t="shared" si="6"/>
        <v>0</v>
      </c>
      <c r="F106" s="13">
        <f t="shared" si="6"/>
        <v>0</v>
      </c>
      <c r="G106" s="13">
        <f t="shared" si="6"/>
        <v>0</v>
      </c>
      <c r="H106" s="13">
        <f t="shared" si="6"/>
        <v>0</v>
      </c>
    </row>
    <row r="107" spans="1:8" x14ac:dyDescent="0.2">
      <c r="A107" s="5"/>
      <c r="B107" s="6">
        <v>4</v>
      </c>
      <c r="C107" s="13">
        <f t="shared" ref="C107:H107" si="7" xml:space="preserve"> AVERAGE(C61:C65)*10000</f>
        <v>64.790129580259162</v>
      </c>
      <c r="D107" s="13">
        <f t="shared" si="7"/>
        <v>83.777667555335086</v>
      </c>
      <c r="E107" s="13">
        <f t="shared" si="7"/>
        <v>59.907619815239627</v>
      </c>
      <c r="F107" s="13">
        <f t="shared" si="7"/>
        <v>68.122636245272489</v>
      </c>
      <c r="G107" s="13">
        <f t="shared" si="7"/>
        <v>69.13013826027651</v>
      </c>
      <c r="H107" s="13">
        <f t="shared" si="7"/>
        <v>66.727633455266911</v>
      </c>
    </row>
    <row r="108" spans="1:8" x14ac:dyDescent="0.2">
      <c r="A108" s="5"/>
      <c r="B108" s="6">
        <v>8</v>
      </c>
      <c r="C108" s="13">
        <f t="shared" ref="C108:H108" si="8" xml:space="preserve"> AVERAGE(C67:C71)*10000</f>
        <v>67.347634695269377</v>
      </c>
      <c r="D108" s="13">
        <f t="shared" si="8"/>
        <v>90.365180730361445</v>
      </c>
      <c r="E108" s="13">
        <f t="shared" si="8"/>
        <v>60.76012152024304</v>
      </c>
      <c r="F108" s="13">
        <f t="shared" si="8"/>
        <v>68.587637175274352</v>
      </c>
      <c r="G108" s="13">
        <f t="shared" si="8"/>
        <v>70.525141050282087</v>
      </c>
      <c r="H108" s="13">
        <f t="shared" si="8"/>
        <v>73.935147870295751</v>
      </c>
    </row>
    <row r="109" spans="1:8" x14ac:dyDescent="0.2">
      <c r="A109" s="5"/>
      <c r="B109" s="6">
        <v>12</v>
      </c>
      <c r="C109" s="13">
        <f t="shared" ref="C109:H109" si="9" xml:space="preserve"> AVERAGE(C73:C77)*10000</f>
        <v>66.805133610267205</v>
      </c>
      <c r="D109" s="13">
        <f t="shared" si="9"/>
        <v>89.590179180358348</v>
      </c>
      <c r="E109" s="13">
        <f t="shared" si="9"/>
        <v>60.915121830243649</v>
      </c>
      <c r="F109" s="13">
        <f t="shared" si="9"/>
        <v>69.13013826027651</v>
      </c>
      <c r="G109" s="13">
        <f t="shared" si="9"/>
        <v>71.842643685287356</v>
      </c>
      <c r="H109" s="13">
        <f t="shared" si="9"/>
        <v>71.765143530287077</v>
      </c>
    </row>
    <row r="110" spans="1:8" x14ac:dyDescent="0.2">
      <c r="A110" s="5"/>
      <c r="B110" s="6">
        <v>16</v>
      </c>
      <c r="C110" s="13">
        <f t="shared" ref="C110:H110" si="10" xml:space="preserve"> AVERAGE(C79:C83)*10000</f>
        <v>66.650133300266589</v>
      </c>
      <c r="D110" s="13">
        <f t="shared" si="10"/>
        <v>91.372682745365466</v>
      </c>
      <c r="E110" s="13">
        <f t="shared" si="10"/>
        <v>61.070122140244287</v>
      </c>
      <c r="F110" s="13">
        <f t="shared" si="10"/>
        <v>69.285138570277141</v>
      </c>
      <c r="G110" s="13">
        <f t="shared" si="10"/>
        <v>71.377642755285507</v>
      </c>
      <c r="H110" s="13">
        <f t="shared" si="10"/>
        <v>70.990141980283965</v>
      </c>
    </row>
    <row r="111" spans="1:8" x14ac:dyDescent="0.2">
      <c r="A111" s="5"/>
      <c r="B111" s="6">
        <v>20</v>
      </c>
      <c r="C111" s="13">
        <f t="shared" ref="C111:H111" si="11" xml:space="preserve"> AVERAGE(C85:C89)*10000</f>
        <v>66.882633765267528</v>
      </c>
      <c r="D111" s="13">
        <f t="shared" si="11"/>
        <v>90.830181660363323</v>
      </c>
      <c r="E111" s="13">
        <f t="shared" si="11"/>
        <v>60.295120590241183</v>
      </c>
      <c r="F111" s="13">
        <f t="shared" si="11"/>
        <v>72.385144770289529</v>
      </c>
      <c r="G111" s="13">
        <f t="shared" si="11"/>
        <v>71.300142600285199</v>
      </c>
      <c r="H111" s="13">
        <f t="shared" si="11"/>
        <v>70.525141050282102</v>
      </c>
    </row>
    <row r="112" spans="1:8" x14ac:dyDescent="0.2">
      <c r="A112" s="5"/>
      <c r="B112" s="6"/>
      <c r="C112" s="13"/>
      <c r="D112" s="13"/>
      <c r="E112" s="13"/>
      <c r="F112" s="13"/>
      <c r="G112" s="13"/>
      <c r="H112" s="13"/>
    </row>
    <row r="113" spans="1:8" x14ac:dyDescent="0.2">
      <c r="A113" s="5"/>
      <c r="B113" s="6"/>
      <c r="C113" s="13"/>
      <c r="D113" s="13"/>
      <c r="E113" s="11"/>
      <c r="F113" s="11"/>
      <c r="G113" s="11"/>
      <c r="H113" s="11"/>
    </row>
    <row r="114" spans="1:8" x14ac:dyDescent="0.2">
      <c r="A114" s="5"/>
      <c r="B114" s="6"/>
      <c r="C114" s="11"/>
      <c r="D114" s="11"/>
      <c r="E114" s="11"/>
      <c r="F114" s="11"/>
      <c r="G114" s="11"/>
      <c r="H114" s="11"/>
    </row>
    <row r="115" spans="1:8" x14ac:dyDescent="0.2">
      <c r="A115" s="5"/>
      <c r="B115" s="6"/>
      <c r="C115" s="11"/>
      <c r="D115" s="11"/>
      <c r="E115" s="11"/>
      <c r="F115" s="11"/>
      <c r="G115" s="5"/>
      <c r="H115" s="5"/>
    </row>
    <row r="116" spans="1:8" x14ac:dyDescent="0.2">
      <c r="A116" s="12" t="s">
        <v>5</v>
      </c>
      <c r="B116" s="12"/>
      <c r="C116" s="14"/>
      <c r="D116" s="14"/>
      <c r="E116" s="14"/>
      <c r="F116" s="15"/>
      <c r="G116" s="2"/>
      <c r="H116" s="2"/>
    </row>
    <row r="117" spans="1:8" ht="34" x14ac:dyDescent="0.2">
      <c r="A117" s="2"/>
      <c r="B117" s="3" t="s">
        <v>2</v>
      </c>
      <c r="C117" s="3" t="s">
        <v>8</v>
      </c>
      <c r="D117" s="3" t="s">
        <v>9</v>
      </c>
      <c r="E117" s="3" t="s">
        <v>10</v>
      </c>
      <c r="F117" s="3" t="s">
        <v>11</v>
      </c>
      <c r="G117" s="3" t="s">
        <v>12</v>
      </c>
      <c r="H117" s="3" t="s">
        <v>13</v>
      </c>
    </row>
    <row r="118" spans="1:8" x14ac:dyDescent="0.2">
      <c r="A118" s="5"/>
      <c r="B118" s="6">
        <v>0</v>
      </c>
      <c r="C118" s="16">
        <f t="shared" ref="C118:H118" si="12" xml:space="preserve"> STDEV(C55:C59)*10000</f>
        <v>0</v>
      </c>
      <c r="D118" s="16">
        <f t="shared" si="12"/>
        <v>0</v>
      </c>
      <c r="E118" s="16">
        <f t="shared" si="12"/>
        <v>0</v>
      </c>
      <c r="F118" s="16">
        <f t="shared" si="12"/>
        <v>0</v>
      </c>
      <c r="G118" s="16">
        <f t="shared" si="12"/>
        <v>0</v>
      </c>
      <c r="H118" s="16">
        <f t="shared" si="12"/>
        <v>0</v>
      </c>
    </row>
    <row r="119" spans="1:8" x14ac:dyDescent="0.2">
      <c r="A119" s="5"/>
      <c r="B119" s="6">
        <v>4</v>
      </c>
      <c r="C119" s="16">
        <f t="shared" ref="C119:H119" si="13" xml:space="preserve"> STDEV(C61:C65)*10000</f>
        <v>6.3379776490361621</v>
      </c>
      <c r="D119" s="16">
        <f t="shared" si="13"/>
        <v>3.7404029590051628</v>
      </c>
      <c r="E119" s="16">
        <f t="shared" si="13"/>
        <v>3.6799654665765407</v>
      </c>
      <c r="F119" s="16">
        <f t="shared" si="13"/>
        <v>3.464756800235385</v>
      </c>
      <c r="G119" s="16">
        <f t="shared" si="13"/>
        <v>3.3674686872094308</v>
      </c>
      <c r="H119" s="16">
        <f t="shared" si="13"/>
        <v>7.3897931930437268</v>
      </c>
    </row>
    <row r="120" spans="1:8" x14ac:dyDescent="0.2">
      <c r="A120" s="5"/>
      <c r="B120" s="6">
        <v>8</v>
      </c>
      <c r="C120" s="16">
        <f t="shared" ref="C120:H120" si="14" xml:space="preserve"> STDEV(C67:C71)*10000</f>
        <v>7.0753298091067158</v>
      </c>
      <c r="D120" s="16">
        <f t="shared" si="14"/>
        <v>3.1664607117706502</v>
      </c>
      <c r="E120" s="16">
        <f t="shared" si="14"/>
        <v>4.6877451473386573</v>
      </c>
      <c r="F120" s="16">
        <f t="shared" si="14"/>
        <v>2.8000338737345105</v>
      </c>
      <c r="G120" s="16">
        <f t="shared" si="14"/>
        <v>3.8925348134493354</v>
      </c>
      <c r="H120" s="16">
        <f t="shared" si="14"/>
        <v>6.2129156655950686</v>
      </c>
    </row>
    <row r="121" spans="1:8" x14ac:dyDescent="0.2">
      <c r="A121" s="5"/>
      <c r="B121" s="6">
        <v>12</v>
      </c>
      <c r="C121" s="16">
        <f t="shared" ref="C121:H121" si="15" xml:space="preserve"> STDEV(C73:C77)*10000</f>
        <v>5.1532261308994896</v>
      </c>
      <c r="D121" s="16">
        <f t="shared" si="15"/>
        <v>2.6425924013773199</v>
      </c>
      <c r="E121" s="16">
        <f t="shared" si="15"/>
        <v>3.9253146326952635</v>
      </c>
      <c r="F121" s="16">
        <f t="shared" si="15"/>
        <v>0.98030803526826982</v>
      </c>
      <c r="G121" s="16">
        <f t="shared" si="15"/>
        <v>4.3648483601986268</v>
      </c>
      <c r="H121" s="16">
        <f t="shared" si="15"/>
        <v>6.3455544331510749</v>
      </c>
    </row>
    <row r="122" spans="1:8" x14ac:dyDescent="0.2">
      <c r="A122" s="5"/>
      <c r="B122" s="6">
        <v>16</v>
      </c>
      <c r="C122" s="16">
        <f t="shared" ref="C122:H122" si="16" xml:space="preserve"> STDEV(C79:C83)*10000</f>
        <v>5.5281029512452733</v>
      </c>
      <c r="D122" s="16">
        <f t="shared" si="16"/>
        <v>0.77500155000309778</v>
      </c>
      <c r="E122" s="16">
        <f t="shared" si="16"/>
        <v>3.5163782683724119</v>
      </c>
      <c r="F122" s="16">
        <f t="shared" si="16"/>
        <v>2.8914932894441137</v>
      </c>
      <c r="G122" s="16">
        <f t="shared" si="16"/>
        <v>4.3648483601986277</v>
      </c>
      <c r="H122" s="16">
        <f t="shared" si="16"/>
        <v>6.502627863910674</v>
      </c>
    </row>
    <row r="123" spans="1:8" x14ac:dyDescent="0.2">
      <c r="A123" s="5"/>
      <c r="B123" s="6">
        <v>20</v>
      </c>
      <c r="C123" s="16">
        <f t="shared" ref="C123:H123" si="17" xml:space="preserve"> STDEV(C85:C89)*10000</f>
        <v>5.6050706805365378</v>
      </c>
      <c r="D123" s="16">
        <f t="shared" si="17"/>
        <v>2.7378513442643242</v>
      </c>
      <c r="E123" s="16">
        <f t="shared" si="17"/>
        <v>4.6568931073403084</v>
      </c>
      <c r="F123" s="16">
        <f t="shared" si="17"/>
        <v>4.8720421741898816</v>
      </c>
      <c r="G123" s="16">
        <f t="shared" si="17"/>
        <v>4.2050529996436516</v>
      </c>
      <c r="H123" s="16">
        <f t="shared" si="17"/>
        <v>5.0969733420706111</v>
      </c>
    </row>
    <row r="124" spans="1:8" x14ac:dyDescent="0.2">
      <c r="A124" s="5"/>
      <c r="B124" s="6"/>
      <c r="C124" s="16"/>
      <c r="D124" s="16"/>
      <c r="E124" s="16"/>
      <c r="F124" s="16"/>
      <c r="G124" s="16"/>
      <c r="H124" s="16"/>
    </row>
    <row r="125" spans="1:8" x14ac:dyDescent="0.2">
      <c r="A125" s="5"/>
      <c r="B125" s="6"/>
      <c r="C125" s="16"/>
      <c r="D125" s="16"/>
      <c r="E125" s="16"/>
      <c r="F125" s="16"/>
      <c r="G125" s="16"/>
      <c r="H125" s="16"/>
    </row>
    <row r="126" spans="1:8" x14ac:dyDescent="0.2">
      <c r="A126" s="5"/>
      <c r="B126" s="6"/>
      <c r="C126" s="6"/>
      <c r="D126" s="6"/>
      <c r="E126" s="6"/>
      <c r="F126" s="6"/>
      <c r="G126" s="5"/>
      <c r="H126" s="5"/>
    </row>
    <row r="127" spans="1:8" x14ac:dyDescent="0.2">
      <c r="A127" s="5"/>
      <c r="B127" s="6"/>
      <c r="C127" s="6"/>
      <c r="D127" s="6"/>
      <c r="E127" s="6"/>
      <c r="F127" s="6"/>
      <c r="G127" s="5"/>
      <c r="H127" s="5"/>
    </row>
    <row r="128" spans="1:8" x14ac:dyDescent="0.2">
      <c r="A128" s="12" t="s">
        <v>6</v>
      </c>
      <c r="B128" s="12"/>
      <c r="C128" s="3"/>
      <c r="D128" s="3"/>
      <c r="E128" s="3"/>
      <c r="F128" s="2"/>
      <c r="G128" s="2"/>
      <c r="H128" s="2"/>
    </row>
    <row r="129" spans="1:8" ht="34" x14ac:dyDescent="0.2">
      <c r="A129" s="2"/>
      <c r="B129" s="3" t="s">
        <v>2</v>
      </c>
      <c r="C129" s="3" t="s">
        <v>8</v>
      </c>
      <c r="D129" s="3" t="s">
        <v>9</v>
      </c>
      <c r="E129" s="3" t="s">
        <v>10</v>
      </c>
      <c r="F129" s="3" t="s">
        <v>11</v>
      </c>
      <c r="G129" s="3" t="s">
        <v>12</v>
      </c>
      <c r="H129" s="3" t="s">
        <v>13</v>
      </c>
    </row>
    <row r="130" spans="1:8" x14ac:dyDescent="0.2">
      <c r="A130" s="5"/>
      <c r="B130" s="6">
        <v>0</v>
      </c>
      <c r="C130" s="11">
        <f t="shared" ref="C130:H130" si="18">AVERAGE(C55:C59)*25.8/AVERAGE(C4:C8)</f>
        <v>0</v>
      </c>
      <c r="D130" s="11">
        <f t="shared" si="18"/>
        <v>0</v>
      </c>
      <c r="E130" s="11">
        <f t="shared" si="18"/>
        <v>0</v>
      </c>
      <c r="F130" s="11">
        <f t="shared" si="18"/>
        <v>0</v>
      </c>
      <c r="G130" s="11">
        <f t="shared" si="18"/>
        <v>0</v>
      </c>
      <c r="H130" s="11">
        <f t="shared" si="18"/>
        <v>0</v>
      </c>
    </row>
    <row r="131" spans="1:8" x14ac:dyDescent="0.2">
      <c r="A131" s="5"/>
      <c r="B131" s="6">
        <v>4</v>
      </c>
      <c r="C131" s="11">
        <f t="shared" ref="C131:H131" si="19">AVERAGE(C61:C65)*25.8/AVERAGE(C4:C8)</f>
        <v>0.46272258634482666</v>
      </c>
      <c r="D131" s="11">
        <f t="shared" si="19"/>
        <v>0.46683883864527975</v>
      </c>
      <c r="E131" s="11">
        <f t="shared" si="19"/>
        <v>0.46730660354744735</v>
      </c>
      <c r="F131" s="11">
        <f t="shared" si="19"/>
        <v>0.49648700992317235</v>
      </c>
      <c r="G131" s="11">
        <f t="shared" si="19"/>
        <v>0.49133817275899011</v>
      </c>
      <c r="H131" s="11">
        <f t="shared" si="19"/>
        <v>0.41735101652021483</v>
      </c>
    </row>
    <row r="132" spans="1:8" x14ac:dyDescent="0.2">
      <c r="A132" s="5"/>
      <c r="B132" s="6">
        <v>8</v>
      </c>
      <c r="C132" s="11">
        <f t="shared" ref="C132:H132" si="20">AVERAGE(C67:C71)*25.8/AVERAGE(C4:C8)</f>
        <v>0.48098795159528024</v>
      </c>
      <c r="D132" s="11">
        <f t="shared" si="20"/>
        <v>0.50354679543052383</v>
      </c>
      <c r="E132" s="11">
        <f t="shared" si="20"/>
        <v>0.47395650346856244</v>
      </c>
      <c r="F132" s="11">
        <f t="shared" si="20"/>
        <v>0.49987599975199948</v>
      </c>
      <c r="G132" s="11">
        <f t="shared" si="20"/>
        <v>0.50125306862183971</v>
      </c>
      <c r="H132" s="11">
        <f t="shared" si="20"/>
        <v>0.46243074304330434</v>
      </c>
    </row>
    <row r="133" spans="1:8" x14ac:dyDescent="0.2">
      <c r="A133" s="5"/>
      <c r="B133" s="6">
        <v>12</v>
      </c>
      <c r="C133" s="11">
        <f t="shared" ref="C133:H133" si="21">AVERAGE(C73:C77)*25.8/AVERAGE(C4:C8)</f>
        <v>0.47711348017851735</v>
      </c>
      <c r="D133" s="11">
        <f t="shared" si="21"/>
        <v>0.49922821227931863</v>
      </c>
      <c r="E133" s="11">
        <f t="shared" si="21"/>
        <v>0.47516557618149236</v>
      </c>
      <c r="F133" s="11">
        <f t="shared" si="21"/>
        <v>0.50382982121896447</v>
      </c>
      <c r="G133" s="11">
        <f t="shared" si="21"/>
        <v>0.51061713693675315</v>
      </c>
      <c r="H133" s="11">
        <f t="shared" si="21"/>
        <v>0.4488583522621592</v>
      </c>
    </row>
    <row r="134" spans="1:8" x14ac:dyDescent="0.2">
      <c r="A134" s="5"/>
      <c r="B134" s="6">
        <v>16</v>
      </c>
      <c r="C134" s="11">
        <f t="shared" ref="C134:H134" si="22">AVERAGE(C79:C83)*25.8/AVERAGE(C4:C8)</f>
        <v>0.47600648834515652</v>
      </c>
      <c r="D134" s="11">
        <f t="shared" si="22"/>
        <v>0.50916095352709057</v>
      </c>
      <c r="E134" s="11">
        <f t="shared" si="22"/>
        <v>0.47637464889442249</v>
      </c>
      <c r="F134" s="11">
        <f t="shared" si="22"/>
        <v>0.5049594844952402</v>
      </c>
      <c r="G134" s="11">
        <f t="shared" si="22"/>
        <v>0.50731217164913678</v>
      </c>
      <c r="H134" s="11">
        <f t="shared" si="22"/>
        <v>0.44401106984032157</v>
      </c>
    </row>
    <row r="135" spans="1:8" x14ac:dyDescent="0.2">
      <c r="A135" s="5"/>
      <c r="B135" s="6">
        <v>20</v>
      </c>
      <c r="C135" s="11">
        <f t="shared" ref="C135:H135" si="23">AVERAGE(C85:C89)*25.8/AVERAGE(C4:C8)</f>
        <v>0.47766697609519781</v>
      </c>
      <c r="D135" s="11">
        <f t="shared" si="23"/>
        <v>0.50613794532124701</v>
      </c>
      <c r="E135" s="11">
        <f t="shared" si="23"/>
        <v>0.47032928532977236</v>
      </c>
      <c r="F135" s="11">
        <f t="shared" si="23"/>
        <v>0.52755275002075419</v>
      </c>
      <c r="G135" s="11">
        <f t="shared" si="23"/>
        <v>0.50676134410120066</v>
      </c>
      <c r="H135" s="11">
        <f t="shared" si="23"/>
        <v>0.44110270038721905</v>
      </c>
    </row>
    <row r="136" spans="1:8" x14ac:dyDescent="0.2">
      <c r="A136" s="5"/>
      <c r="B136" s="6"/>
      <c r="C136" s="11"/>
      <c r="D136" s="11"/>
      <c r="E136" s="11"/>
      <c r="F136" s="11"/>
      <c r="G136" s="11"/>
      <c r="H136" s="11"/>
    </row>
    <row r="137" spans="1:8" x14ac:dyDescent="0.2">
      <c r="A137" s="5"/>
      <c r="B137" s="6"/>
      <c r="C137" s="11"/>
      <c r="D137" s="11"/>
      <c r="E137" s="6"/>
      <c r="F137" s="11"/>
      <c r="G137" s="11"/>
      <c r="H137" s="11"/>
    </row>
    <row r="138" spans="1:8" x14ac:dyDescent="0.2">
      <c r="A138" s="5"/>
      <c r="B138" s="6"/>
      <c r="C138" s="6"/>
      <c r="E138" s="6"/>
      <c r="F138" s="6"/>
      <c r="G138" s="5"/>
      <c r="H138" s="5"/>
    </row>
    <row r="139" spans="1:8" x14ac:dyDescent="0.2">
      <c r="A139" s="5"/>
      <c r="B139" s="6"/>
      <c r="C139" s="6"/>
      <c r="D139" s="6"/>
      <c r="E139" s="6"/>
      <c r="F139" s="6"/>
      <c r="G139" s="5"/>
      <c r="H139" s="5"/>
    </row>
    <row r="140" spans="1:8" x14ac:dyDescent="0.2">
      <c r="A140" s="12" t="s">
        <v>5</v>
      </c>
      <c r="B140" s="12"/>
      <c r="C140" s="14"/>
      <c r="D140" s="14"/>
      <c r="E140" s="14"/>
      <c r="F140" s="15"/>
      <c r="G140" s="2"/>
      <c r="H140" s="2"/>
    </row>
    <row r="141" spans="1:8" ht="34" x14ac:dyDescent="0.2">
      <c r="A141" s="2"/>
      <c r="B141" s="3" t="s">
        <v>2</v>
      </c>
      <c r="C141" s="3" t="s">
        <v>8</v>
      </c>
      <c r="D141" s="3" t="s">
        <v>9</v>
      </c>
      <c r="E141" s="3" t="s">
        <v>10</v>
      </c>
      <c r="F141" s="3" t="s">
        <v>11</v>
      </c>
      <c r="G141" s="3" t="s">
        <v>12</v>
      </c>
      <c r="H141" s="3" t="s">
        <v>13</v>
      </c>
    </row>
    <row r="142" spans="1:8" x14ac:dyDescent="0.2">
      <c r="A142" s="5"/>
      <c r="B142" s="6">
        <v>0</v>
      </c>
      <c r="C142" s="11">
        <f xml:space="preserve"> STDEV(C55:C59)*22.58/AVERAGE(C4:C8)</f>
        <v>0</v>
      </c>
      <c r="D142" s="11">
        <f xml:space="preserve"> STDEV(D55:D59)*22.58/AVERAGE(D4:D8)</f>
        <v>0</v>
      </c>
      <c r="E142" s="11">
        <f t="shared" ref="E142:H142" si="24" xml:space="preserve"> STDEV(E55:E59)*22.58/AVERAGE(E4:E8)</f>
        <v>0</v>
      </c>
      <c r="F142" s="11">
        <f t="shared" si="24"/>
        <v>0</v>
      </c>
      <c r="G142" s="11">
        <f t="shared" si="24"/>
        <v>0</v>
      </c>
      <c r="H142" s="11">
        <f t="shared" si="24"/>
        <v>0</v>
      </c>
    </row>
    <row r="143" spans="1:8" x14ac:dyDescent="0.2">
      <c r="A143" s="5"/>
      <c r="B143" s="6">
        <v>4</v>
      </c>
      <c r="C143" s="11">
        <f t="shared" ref="C143:H143" si="25" xml:space="preserve"> STDEV(C61:C65)*22.58/AVERAGE(C4:C8)</f>
        <v>3.9615649914252322E-2</v>
      </c>
      <c r="D143" s="11">
        <f xml:space="preserve"> STDEV(D61:D65)*22.58/AVERAGE(D4:D8)</f>
        <v>1.8241533221239E-2</v>
      </c>
      <c r="E143" s="11">
        <f t="shared" si="25"/>
        <v>2.5122787675071284E-2</v>
      </c>
      <c r="F143" s="11">
        <f t="shared" si="25"/>
        <v>2.2100058912235876E-2</v>
      </c>
      <c r="G143" s="11">
        <f t="shared" si="25"/>
        <v>2.0946953982696678E-2</v>
      </c>
      <c r="H143" s="11">
        <f t="shared" si="25"/>
        <v>4.045128007246724E-2</v>
      </c>
    </row>
    <row r="144" spans="1:8" x14ac:dyDescent="0.2">
      <c r="A144" s="5"/>
      <c r="B144" s="6">
        <v>8</v>
      </c>
      <c r="C144" s="11">
        <f t="shared" ref="C144:H144" si="26" xml:space="preserve"> STDEV(C67:C71)*22.58/AVERAGE(C4:C8)</f>
        <v>4.4224483623426888E-2</v>
      </c>
      <c r="D144" s="11">
        <f t="shared" si="26"/>
        <v>1.5442480101896604E-2</v>
      </c>
      <c r="E144" s="11">
        <f t="shared" si="26"/>
        <v>3.2002807385308196E-2</v>
      </c>
      <c r="F144" s="11">
        <f t="shared" si="26"/>
        <v>1.7860103070317865E-2</v>
      </c>
      <c r="G144" s="11">
        <f t="shared" si="26"/>
        <v>2.421306779275096E-2</v>
      </c>
      <c r="H144" s="11">
        <f t="shared" si="26"/>
        <v>3.4009123813124029E-2</v>
      </c>
    </row>
    <row r="145" spans="1:8" x14ac:dyDescent="0.2">
      <c r="A145" s="5"/>
      <c r="B145" s="6">
        <v>12</v>
      </c>
      <c r="C145" s="11">
        <f t="shared" ref="C145:H145" si="27" xml:space="preserve"> STDEV(C73:C77)*22.58/AVERAGE(C4:C8)</f>
        <v>3.2210338002964835E-2</v>
      </c>
      <c r="D145" s="11">
        <f t="shared" si="27"/>
        <v>1.2887632056825027E-2</v>
      </c>
      <c r="E145" s="11">
        <f t="shared" si="27"/>
        <v>2.679776399282208E-2</v>
      </c>
      <c r="F145" s="11">
        <f t="shared" si="27"/>
        <v>6.252925264507778E-3</v>
      </c>
      <c r="G145" s="11">
        <f t="shared" si="27"/>
        <v>2.7151040213026167E-2</v>
      </c>
      <c r="H145" s="11">
        <f t="shared" si="27"/>
        <v>3.4735180388012425E-2</v>
      </c>
    </row>
    <row r="146" spans="1:8" x14ac:dyDescent="0.2">
      <c r="A146" s="5"/>
      <c r="B146" s="6">
        <v>16</v>
      </c>
      <c r="C146" s="11">
        <f t="shared" ref="C146:H146" si="28" xml:space="preserve"> STDEV(C79:C83)*22.58/AVERAGE(C4:C8)</f>
        <v>3.4553512702870104E-2</v>
      </c>
      <c r="D146" s="11">
        <f t="shared" si="28"/>
        <v>3.7795971920237463E-3</v>
      </c>
      <c r="E146" s="11">
        <f t="shared" si="28"/>
        <v>2.4005992834421477E-2</v>
      </c>
      <c r="F146" s="11">
        <f t="shared" si="28"/>
        <v>1.8443479795380816E-2</v>
      </c>
      <c r="G146" s="11">
        <f t="shared" si="28"/>
        <v>2.7151040213026171E-2</v>
      </c>
      <c r="H146" s="11">
        <f t="shared" si="28"/>
        <v>3.5594990828388608E-2</v>
      </c>
    </row>
    <row r="147" spans="1:8" x14ac:dyDescent="0.2">
      <c r="A147" s="5"/>
      <c r="B147" s="6">
        <v>20</v>
      </c>
      <c r="C147" s="11">
        <f t="shared" ref="C147:H147" si="29" xml:space="preserve"> STDEV(C85:C89)*22.58/AVERAGE(C4:C8)</f>
        <v>3.5034600959588928E-2</v>
      </c>
      <c r="D147" s="11">
        <f t="shared" si="29"/>
        <v>1.3352199428399228E-2</v>
      </c>
      <c r="E147" s="11">
        <f t="shared" si="29"/>
        <v>3.1792183329930196E-2</v>
      </c>
      <c r="F147" s="11">
        <f t="shared" si="29"/>
        <v>3.1076472399211168E-2</v>
      </c>
      <c r="G147" s="11">
        <f t="shared" si="29"/>
        <v>2.6157051441309549E-2</v>
      </c>
      <c r="H147" s="11">
        <f t="shared" si="29"/>
        <v>2.7900523167019249E-2</v>
      </c>
    </row>
    <row r="148" spans="1:8" x14ac:dyDescent="0.2">
      <c r="A148" s="5"/>
      <c r="B148" s="6"/>
      <c r="C148" s="11"/>
      <c r="D148" s="11"/>
      <c r="E148" s="11"/>
      <c r="F148" s="11"/>
      <c r="G148" s="11"/>
      <c r="H148" s="11"/>
    </row>
  </sheetData>
  <mergeCells count="2">
    <mergeCell ref="A2:E2"/>
    <mergeCell ref="A53:E5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994E-ACAA-1549-ACBE-A8D183B25539}">
  <dimension ref="A1:E318"/>
  <sheetViews>
    <sheetView workbookViewId="0">
      <selection activeCell="E2" sqref="E2:E313"/>
    </sheetView>
  </sheetViews>
  <sheetFormatPr baseColWidth="10" defaultRowHeight="16" x14ac:dyDescent="0.2"/>
  <cols>
    <col min="3" max="3" width="16.5" customWidth="1"/>
    <col min="4" max="4" width="15.83203125" customWidth="1"/>
    <col min="5" max="5" width="17.5" customWidth="1"/>
  </cols>
  <sheetData>
    <row r="1" spans="1:5" x14ac:dyDescent="0.2">
      <c r="A1" s="18" t="s">
        <v>14</v>
      </c>
      <c r="B1" s="18" t="s">
        <v>18</v>
      </c>
      <c r="C1" s="18" t="s">
        <v>15</v>
      </c>
      <c r="D1" s="18" t="s">
        <v>16</v>
      </c>
      <c r="E1" s="19" t="s">
        <v>17</v>
      </c>
    </row>
    <row r="2" spans="1:5" x14ac:dyDescent="0.2">
      <c r="A2" s="6">
        <v>0</v>
      </c>
      <c r="B2" t="s">
        <v>19</v>
      </c>
      <c r="C2" t="s">
        <v>20</v>
      </c>
      <c r="D2" s="7">
        <v>0.373</v>
      </c>
      <c r="E2" s="22">
        <v>0</v>
      </c>
    </row>
    <row r="3" spans="1:5" x14ac:dyDescent="0.2">
      <c r="A3" s="6">
        <v>0</v>
      </c>
      <c r="B3" t="s">
        <v>19</v>
      </c>
      <c r="C3" t="s">
        <v>20</v>
      </c>
      <c r="D3" s="7">
        <v>0.378</v>
      </c>
      <c r="E3" s="22">
        <v>0</v>
      </c>
    </row>
    <row r="4" spans="1:5" x14ac:dyDescent="0.2">
      <c r="A4" s="6">
        <v>0</v>
      </c>
      <c r="B4" t="s">
        <v>19</v>
      </c>
      <c r="C4" t="s">
        <v>20</v>
      </c>
      <c r="D4" s="7">
        <v>0.377</v>
      </c>
      <c r="E4" s="22">
        <v>0</v>
      </c>
    </row>
    <row r="5" spans="1:5" x14ac:dyDescent="0.2">
      <c r="A5" s="6">
        <v>0</v>
      </c>
      <c r="B5" t="s">
        <v>19</v>
      </c>
      <c r="C5" t="s">
        <v>20</v>
      </c>
      <c r="D5" s="7">
        <v>0.38400000000000001</v>
      </c>
      <c r="E5" s="22">
        <v>0</v>
      </c>
    </row>
    <row r="6" spans="1:5" x14ac:dyDescent="0.2">
      <c r="A6" s="6">
        <v>10</v>
      </c>
      <c r="B6" t="s">
        <v>19</v>
      </c>
      <c r="C6" t="s">
        <v>20</v>
      </c>
      <c r="D6" s="7">
        <v>0.42399999999999999</v>
      </c>
      <c r="E6" s="22">
        <v>1.5810031620063236E-3</v>
      </c>
    </row>
    <row r="7" spans="1:5" x14ac:dyDescent="0.2">
      <c r="A7" s="6">
        <v>10</v>
      </c>
      <c r="B7" t="s">
        <v>19</v>
      </c>
      <c r="C7" t="s">
        <v>20</v>
      </c>
      <c r="D7" s="7">
        <v>0.42599999999999999</v>
      </c>
      <c r="E7" s="22">
        <v>1.4880029760059514E-3</v>
      </c>
    </row>
    <row r="8" spans="1:5" x14ac:dyDescent="0.2">
      <c r="A8" s="6">
        <v>10</v>
      </c>
      <c r="B8" t="s">
        <v>19</v>
      </c>
      <c r="C8" t="s">
        <v>20</v>
      </c>
      <c r="D8" s="7">
        <v>0.42899999999999999</v>
      </c>
      <c r="E8" s="22">
        <v>1.6120032240064476E-3</v>
      </c>
    </row>
    <row r="9" spans="1:5" x14ac:dyDescent="0.2">
      <c r="A9" s="6">
        <v>10</v>
      </c>
      <c r="B9" t="s">
        <v>19</v>
      </c>
      <c r="C9" t="s">
        <v>20</v>
      </c>
      <c r="D9" s="7">
        <v>0.432</v>
      </c>
      <c r="E9" s="22">
        <v>1.4880029760059514E-3</v>
      </c>
    </row>
    <row r="10" spans="1:5" x14ac:dyDescent="0.2">
      <c r="A10" s="6">
        <v>20</v>
      </c>
      <c r="B10" t="s">
        <v>19</v>
      </c>
      <c r="C10" t="s">
        <v>20</v>
      </c>
      <c r="D10" s="7">
        <v>0.44400000000000001</v>
      </c>
      <c r="E10" s="22">
        <v>2.2010044020088042E-3</v>
      </c>
    </row>
    <row r="11" spans="1:5" x14ac:dyDescent="0.2">
      <c r="A11" s="6">
        <v>20</v>
      </c>
      <c r="B11" t="s">
        <v>19</v>
      </c>
      <c r="C11" t="s">
        <v>20</v>
      </c>
      <c r="D11" s="7">
        <v>0.44</v>
      </c>
      <c r="E11" s="22">
        <v>1.9220038440076878E-3</v>
      </c>
    </row>
    <row r="12" spans="1:5" x14ac:dyDescent="0.2">
      <c r="A12" s="6">
        <v>20</v>
      </c>
      <c r="B12" t="s">
        <v>19</v>
      </c>
      <c r="C12" t="s">
        <v>20</v>
      </c>
      <c r="D12" s="7">
        <v>0.442</v>
      </c>
      <c r="E12" s="22">
        <v>2.0150040300080598E-3</v>
      </c>
    </row>
    <row r="13" spans="1:5" x14ac:dyDescent="0.2">
      <c r="A13" s="6">
        <v>20</v>
      </c>
      <c r="B13" t="s">
        <v>19</v>
      </c>
      <c r="C13" t="s">
        <v>20</v>
      </c>
      <c r="D13" s="7">
        <v>0.44700000000000001</v>
      </c>
      <c r="E13" s="22">
        <v>1.9530039060078118E-3</v>
      </c>
    </row>
    <row r="14" spans="1:5" x14ac:dyDescent="0.2">
      <c r="A14" s="6">
        <v>30</v>
      </c>
      <c r="B14" t="s">
        <v>19</v>
      </c>
      <c r="C14" t="s">
        <v>20</v>
      </c>
      <c r="D14" s="7">
        <v>0.45200000000000001</v>
      </c>
      <c r="E14" s="22">
        <v>2.4490048980097961E-3</v>
      </c>
    </row>
    <row r="15" spans="1:5" x14ac:dyDescent="0.2">
      <c r="A15" s="6">
        <v>30</v>
      </c>
      <c r="B15" t="s">
        <v>19</v>
      </c>
      <c r="C15" t="s">
        <v>20</v>
      </c>
      <c r="D15" s="7">
        <v>0.46400000000000002</v>
      </c>
      <c r="E15" s="22">
        <v>2.6660053320106646E-3</v>
      </c>
    </row>
    <row r="16" spans="1:5" x14ac:dyDescent="0.2">
      <c r="A16" s="6">
        <v>30</v>
      </c>
      <c r="B16" t="s">
        <v>19</v>
      </c>
      <c r="C16" t="s">
        <v>20</v>
      </c>
      <c r="D16" s="7">
        <v>0.45700000000000002</v>
      </c>
      <c r="E16" s="22">
        <v>2.4800049600099201E-3</v>
      </c>
    </row>
    <row r="17" spans="1:5" x14ac:dyDescent="0.2">
      <c r="A17" s="6">
        <v>30</v>
      </c>
      <c r="B17" t="s">
        <v>19</v>
      </c>
      <c r="C17" t="s">
        <v>20</v>
      </c>
      <c r="D17" s="7">
        <v>0.46300000000000002</v>
      </c>
      <c r="E17" s="22">
        <v>2.4490048980097961E-3</v>
      </c>
    </row>
    <row r="18" spans="1:5" x14ac:dyDescent="0.2">
      <c r="A18" s="6">
        <v>40</v>
      </c>
      <c r="B18" t="s">
        <v>19</v>
      </c>
      <c r="C18" t="s">
        <v>20</v>
      </c>
      <c r="D18" s="7">
        <v>0.45600000000000002</v>
      </c>
      <c r="E18" s="22">
        <v>2.5730051460102926E-3</v>
      </c>
    </row>
    <row r="19" spans="1:5" x14ac:dyDescent="0.2">
      <c r="A19" s="6">
        <v>40</v>
      </c>
      <c r="B19" t="s">
        <v>19</v>
      </c>
      <c r="C19" t="s">
        <v>20</v>
      </c>
      <c r="D19" s="7">
        <v>0.46600000000000003</v>
      </c>
      <c r="E19" s="22">
        <v>2.7280054560109126E-3</v>
      </c>
    </row>
    <row r="20" spans="1:5" x14ac:dyDescent="0.2">
      <c r="A20" s="6">
        <v>40</v>
      </c>
      <c r="B20" t="s">
        <v>19</v>
      </c>
      <c r="C20" t="s">
        <v>20</v>
      </c>
      <c r="D20" s="7">
        <v>0.45200000000000001</v>
      </c>
      <c r="E20" s="22">
        <v>2.3250046500093002E-3</v>
      </c>
    </row>
    <row r="21" spans="1:5" x14ac:dyDescent="0.2">
      <c r="A21" s="6">
        <v>40</v>
      </c>
      <c r="B21" t="s">
        <v>19</v>
      </c>
      <c r="C21" t="s">
        <v>20</v>
      </c>
      <c r="D21" s="7">
        <v>0.46100000000000002</v>
      </c>
      <c r="E21" s="22">
        <v>2.3870047740095482E-3</v>
      </c>
    </row>
    <row r="22" spans="1:5" x14ac:dyDescent="0.2">
      <c r="A22" s="6">
        <v>50</v>
      </c>
      <c r="B22" t="s">
        <v>19</v>
      </c>
      <c r="C22" t="s">
        <v>20</v>
      </c>
      <c r="D22" s="7">
        <v>0.46200000000000002</v>
      </c>
      <c r="E22" s="22">
        <v>2.7590055180110365E-3</v>
      </c>
    </row>
    <row r="23" spans="1:5" x14ac:dyDescent="0.2">
      <c r="A23" s="6">
        <v>50</v>
      </c>
      <c r="B23" t="s">
        <v>19</v>
      </c>
      <c r="C23" t="s">
        <v>20</v>
      </c>
      <c r="D23" s="7">
        <v>0.46400000000000002</v>
      </c>
      <c r="E23" s="22">
        <v>2.6660053320106646E-3</v>
      </c>
    </row>
    <row r="24" spans="1:5" x14ac:dyDescent="0.2">
      <c r="A24" s="6">
        <v>50</v>
      </c>
      <c r="B24" t="s">
        <v>19</v>
      </c>
      <c r="C24" t="s">
        <v>20</v>
      </c>
      <c r="D24" s="7">
        <v>0.45600000000000002</v>
      </c>
      <c r="E24" s="22">
        <v>2.4490048980097961E-3</v>
      </c>
    </row>
    <row r="25" spans="1:5" x14ac:dyDescent="0.2">
      <c r="A25" s="6">
        <v>50</v>
      </c>
      <c r="B25" t="s">
        <v>19</v>
      </c>
      <c r="C25" t="s">
        <v>20</v>
      </c>
      <c r="D25" s="7">
        <v>0.47</v>
      </c>
      <c r="E25" s="22">
        <v>2.6660053320106628E-3</v>
      </c>
    </row>
    <row r="26" spans="1:5" x14ac:dyDescent="0.2">
      <c r="A26" s="6">
        <v>60</v>
      </c>
      <c r="B26" t="s">
        <v>19</v>
      </c>
      <c r="C26" t="s">
        <v>20</v>
      </c>
      <c r="D26" s="7">
        <v>0.45900000000000002</v>
      </c>
      <c r="E26" s="22">
        <v>2.6660053320106646E-3</v>
      </c>
    </row>
    <row r="27" spans="1:5" x14ac:dyDescent="0.2">
      <c r="A27" s="6">
        <v>60</v>
      </c>
      <c r="B27" t="s">
        <v>19</v>
      </c>
      <c r="C27" t="s">
        <v>20</v>
      </c>
      <c r="D27" s="7">
        <v>0.47399999999999998</v>
      </c>
      <c r="E27" s="22">
        <v>2.9760059520119028E-3</v>
      </c>
    </row>
    <row r="28" spans="1:5" x14ac:dyDescent="0.2">
      <c r="A28" s="6">
        <v>60</v>
      </c>
      <c r="B28" t="s">
        <v>19</v>
      </c>
      <c r="C28" t="s">
        <v>20</v>
      </c>
      <c r="D28" s="7">
        <v>0.45600000000000002</v>
      </c>
      <c r="E28" s="22">
        <v>2.4490048980097961E-3</v>
      </c>
    </row>
    <row r="29" spans="1:5" x14ac:dyDescent="0.2">
      <c r="A29" s="6">
        <v>60</v>
      </c>
      <c r="B29" t="s">
        <v>19</v>
      </c>
      <c r="C29" t="s">
        <v>20</v>
      </c>
      <c r="D29" s="7">
        <v>0.47199999999999998</v>
      </c>
      <c r="E29" s="22">
        <v>2.7280054560109108E-3</v>
      </c>
    </row>
    <row r="30" spans="1:5" x14ac:dyDescent="0.2">
      <c r="A30" s="6">
        <v>0</v>
      </c>
      <c r="B30" t="s">
        <v>19</v>
      </c>
      <c r="C30" t="s">
        <v>21</v>
      </c>
      <c r="D30" s="7">
        <v>0.42899999999999999</v>
      </c>
      <c r="E30" s="22">
        <v>0</v>
      </c>
    </row>
    <row r="31" spans="1:5" x14ac:dyDescent="0.2">
      <c r="A31" s="6">
        <v>0</v>
      </c>
      <c r="B31" t="s">
        <v>19</v>
      </c>
      <c r="C31" t="s">
        <v>21</v>
      </c>
      <c r="D31" s="7">
        <v>0.44400000000000001</v>
      </c>
      <c r="E31" s="22">
        <v>0</v>
      </c>
    </row>
    <row r="32" spans="1:5" x14ac:dyDescent="0.2">
      <c r="A32" s="6">
        <v>0</v>
      </c>
      <c r="B32" t="s">
        <v>19</v>
      </c>
      <c r="C32" t="s">
        <v>21</v>
      </c>
      <c r="D32" s="7">
        <v>0.46300000000000002</v>
      </c>
      <c r="E32" s="22">
        <v>0</v>
      </c>
    </row>
    <row r="33" spans="1:5" x14ac:dyDescent="0.2">
      <c r="A33" s="6">
        <v>0</v>
      </c>
      <c r="B33" t="s">
        <v>19</v>
      </c>
      <c r="C33" t="s">
        <v>21</v>
      </c>
      <c r="D33" s="7">
        <v>0.46300000000000002</v>
      </c>
      <c r="E33" s="22">
        <v>0</v>
      </c>
    </row>
    <row r="34" spans="1:5" x14ac:dyDescent="0.2">
      <c r="A34" s="6">
        <v>10</v>
      </c>
      <c r="B34" t="s">
        <v>19</v>
      </c>
      <c r="C34" t="s">
        <v>21</v>
      </c>
      <c r="D34" s="7">
        <v>0.48599999999999999</v>
      </c>
      <c r="E34" s="22">
        <v>1.7670035340070678E-3</v>
      </c>
    </row>
    <row r="35" spans="1:5" x14ac:dyDescent="0.2">
      <c r="A35" s="6">
        <v>10</v>
      </c>
      <c r="B35" t="s">
        <v>19</v>
      </c>
      <c r="C35" t="s">
        <v>21</v>
      </c>
      <c r="D35" s="7">
        <v>0.503</v>
      </c>
      <c r="E35" s="22">
        <v>1.8290036580073158E-3</v>
      </c>
    </row>
    <row r="36" spans="1:5" x14ac:dyDescent="0.2">
      <c r="A36" s="6">
        <v>10</v>
      </c>
      <c r="B36" t="s">
        <v>19</v>
      </c>
      <c r="C36" t="s">
        <v>21</v>
      </c>
      <c r="D36" s="7">
        <v>0.52</v>
      </c>
      <c r="E36" s="22">
        <v>1.7670035340070678E-3</v>
      </c>
    </row>
    <row r="37" spans="1:5" x14ac:dyDescent="0.2">
      <c r="A37" s="6">
        <v>10</v>
      </c>
      <c r="B37" t="s">
        <v>19</v>
      </c>
      <c r="C37" t="s">
        <v>21</v>
      </c>
      <c r="D37" s="7">
        <v>0.52200000000000002</v>
      </c>
      <c r="E37" s="22">
        <v>1.8290036580073158E-3</v>
      </c>
    </row>
    <row r="38" spans="1:5" x14ac:dyDescent="0.2">
      <c r="A38" s="6">
        <v>20</v>
      </c>
      <c r="B38" t="s">
        <v>19</v>
      </c>
      <c r="C38" t="s">
        <v>21</v>
      </c>
      <c r="D38" s="7">
        <v>0.50700000000000001</v>
      </c>
      <c r="E38" s="22">
        <v>2.4180048360096722E-3</v>
      </c>
    </row>
    <row r="39" spans="1:5" x14ac:dyDescent="0.2">
      <c r="A39" s="6">
        <v>20</v>
      </c>
      <c r="B39" t="s">
        <v>19</v>
      </c>
      <c r="C39" t="s">
        <v>21</v>
      </c>
      <c r="D39" s="7">
        <v>0.52300000000000002</v>
      </c>
      <c r="E39" s="22">
        <v>2.4490048980097961E-3</v>
      </c>
    </row>
    <row r="40" spans="1:5" x14ac:dyDescent="0.2">
      <c r="A40" s="6">
        <v>20</v>
      </c>
      <c r="B40" t="s">
        <v>19</v>
      </c>
      <c r="C40" t="s">
        <v>21</v>
      </c>
      <c r="D40" s="7">
        <v>0.54700000000000004</v>
      </c>
      <c r="E40" s="22">
        <v>2.6040052080104166E-3</v>
      </c>
    </row>
    <row r="41" spans="1:5" x14ac:dyDescent="0.2">
      <c r="A41" s="6">
        <v>20</v>
      </c>
      <c r="B41" t="s">
        <v>19</v>
      </c>
      <c r="C41" t="s">
        <v>21</v>
      </c>
      <c r="D41" s="7">
        <v>0.55300000000000005</v>
      </c>
      <c r="E41" s="22">
        <v>2.7900055800111605E-3</v>
      </c>
    </row>
    <row r="42" spans="1:5" x14ac:dyDescent="0.2">
      <c r="A42" s="6">
        <v>30</v>
      </c>
      <c r="B42" t="s">
        <v>19</v>
      </c>
      <c r="C42" t="s">
        <v>21</v>
      </c>
      <c r="D42" s="7">
        <v>0.51700000000000002</v>
      </c>
      <c r="E42" s="22">
        <v>2.7280054560109126E-3</v>
      </c>
    </row>
    <row r="43" spans="1:5" x14ac:dyDescent="0.2">
      <c r="A43" s="6">
        <v>30</v>
      </c>
      <c r="B43" t="s">
        <v>19</v>
      </c>
      <c r="C43" t="s">
        <v>21</v>
      </c>
      <c r="D43" s="7">
        <v>0.53900000000000003</v>
      </c>
      <c r="E43" s="22">
        <v>2.9450058900117805E-3</v>
      </c>
    </row>
    <row r="44" spans="1:5" x14ac:dyDescent="0.2">
      <c r="A44" s="6">
        <v>30</v>
      </c>
      <c r="B44" t="s">
        <v>19</v>
      </c>
      <c r="C44" t="s">
        <v>21</v>
      </c>
      <c r="D44" s="7">
        <v>0.55700000000000005</v>
      </c>
      <c r="E44" s="22">
        <v>2.9140058280116565E-3</v>
      </c>
    </row>
    <row r="45" spans="1:5" x14ac:dyDescent="0.2">
      <c r="A45" s="6">
        <v>30</v>
      </c>
      <c r="B45" t="s">
        <v>19</v>
      </c>
      <c r="C45" t="s">
        <v>21</v>
      </c>
      <c r="D45" s="7">
        <v>0.56399999999999995</v>
      </c>
      <c r="E45" s="22">
        <v>3.1310062620125215E-3</v>
      </c>
    </row>
    <row r="46" spans="1:5" x14ac:dyDescent="0.2">
      <c r="A46" s="6">
        <v>40</v>
      </c>
      <c r="B46" t="s">
        <v>19</v>
      </c>
      <c r="C46" t="s">
        <v>21</v>
      </c>
      <c r="D46" s="7">
        <v>0.52</v>
      </c>
      <c r="E46" s="22">
        <v>2.8210056420112845E-3</v>
      </c>
    </row>
    <row r="47" spans="1:5" x14ac:dyDescent="0.2">
      <c r="A47" s="6">
        <v>40</v>
      </c>
      <c r="B47" t="s">
        <v>19</v>
      </c>
      <c r="C47" t="s">
        <v>21</v>
      </c>
      <c r="D47" s="7">
        <v>0.54</v>
      </c>
      <c r="E47" s="22">
        <v>2.9760059520119045E-3</v>
      </c>
    </row>
    <row r="48" spans="1:5" x14ac:dyDescent="0.2">
      <c r="A48" s="6">
        <v>40</v>
      </c>
      <c r="B48" t="s">
        <v>19</v>
      </c>
      <c r="C48" t="s">
        <v>21</v>
      </c>
      <c r="D48" s="7">
        <v>0.56200000000000006</v>
      </c>
      <c r="E48" s="22">
        <v>3.0690061380122769E-3</v>
      </c>
    </row>
    <row r="49" spans="1:5" x14ac:dyDescent="0.2">
      <c r="A49" s="6">
        <v>40</v>
      </c>
      <c r="B49" t="s">
        <v>19</v>
      </c>
      <c r="C49" t="s">
        <v>21</v>
      </c>
      <c r="D49" s="7">
        <v>0.56299999999999994</v>
      </c>
      <c r="E49" s="22">
        <v>3.1000062000123975E-3</v>
      </c>
    </row>
    <row r="50" spans="1:5" x14ac:dyDescent="0.2">
      <c r="A50" s="6">
        <v>50</v>
      </c>
      <c r="B50" t="s">
        <v>19</v>
      </c>
      <c r="C50" t="s">
        <v>21</v>
      </c>
      <c r="D50" s="7">
        <v>0.52100000000000002</v>
      </c>
      <c r="E50" s="22">
        <v>2.8520057040114085E-3</v>
      </c>
    </row>
    <row r="51" spans="1:5" x14ac:dyDescent="0.2">
      <c r="A51" s="6">
        <v>50</v>
      </c>
      <c r="B51" t="s">
        <v>19</v>
      </c>
      <c r="C51" t="s">
        <v>21</v>
      </c>
      <c r="D51" s="7">
        <v>0.54100000000000004</v>
      </c>
      <c r="E51" s="22">
        <v>3.0070060140120285E-3</v>
      </c>
    </row>
    <row r="52" spans="1:5" x14ac:dyDescent="0.2">
      <c r="A52" s="6">
        <v>50</v>
      </c>
      <c r="B52" t="s">
        <v>19</v>
      </c>
      <c r="C52" t="s">
        <v>21</v>
      </c>
      <c r="D52" s="7">
        <v>0.56200000000000006</v>
      </c>
      <c r="E52" s="22">
        <v>3.0690061380122769E-3</v>
      </c>
    </row>
    <row r="53" spans="1:5" x14ac:dyDescent="0.2">
      <c r="A53" s="6">
        <v>50</v>
      </c>
      <c r="B53" t="s">
        <v>19</v>
      </c>
      <c r="C53" t="s">
        <v>21</v>
      </c>
      <c r="D53" s="7">
        <v>0.56599999999999995</v>
      </c>
      <c r="E53" s="22">
        <v>3.1930063860127695E-3</v>
      </c>
    </row>
    <row r="54" spans="1:5" x14ac:dyDescent="0.2">
      <c r="A54" s="6">
        <v>60</v>
      </c>
      <c r="B54" t="s">
        <v>19</v>
      </c>
      <c r="C54" t="s">
        <v>21</v>
      </c>
      <c r="D54" s="7">
        <v>0.52</v>
      </c>
      <c r="E54" s="22">
        <v>2.8210056420112845E-3</v>
      </c>
    </row>
    <row r="55" spans="1:5" x14ac:dyDescent="0.2">
      <c r="A55" s="6">
        <v>60</v>
      </c>
      <c r="B55" t="s">
        <v>19</v>
      </c>
      <c r="C55" t="s">
        <v>21</v>
      </c>
      <c r="D55" s="7">
        <v>0.54100000000000004</v>
      </c>
      <c r="E55" s="22">
        <v>3.0070060140120285E-3</v>
      </c>
    </row>
    <row r="56" spans="1:5" x14ac:dyDescent="0.2">
      <c r="A56" s="6">
        <v>60</v>
      </c>
      <c r="B56" t="s">
        <v>19</v>
      </c>
      <c r="C56" t="s">
        <v>21</v>
      </c>
      <c r="D56" s="7">
        <v>0.56000000000000005</v>
      </c>
      <c r="E56" s="22">
        <v>3.0070060140120285E-3</v>
      </c>
    </row>
    <row r="57" spans="1:5" x14ac:dyDescent="0.2">
      <c r="A57" s="6">
        <v>60</v>
      </c>
      <c r="B57" t="s">
        <v>19</v>
      </c>
      <c r="C57" t="s">
        <v>21</v>
      </c>
      <c r="D57" s="7">
        <v>0.56899999999999995</v>
      </c>
      <c r="E57" s="22">
        <v>3.2860065720131415E-3</v>
      </c>
    </row>
    <row r="58" spans="1:5" x14ac:dyDescent="0.2">
      <c r="A58" s="6">
        <v>0</v>
      </c>
      <c r="B58" t="s">
        <v>19</v>
      </c>
      <c r="C58" t="s">
        <v>22</v>
      </c>
      <c r="D58" s="8">
        <v>0.317</v>
      </c>
      <c r="E58" s="22">
        <v>0</v>
      </c>
    </row>
    <row r="59" spans="1:5" x14ac:dyDescent="0.2">
      <c r="A59" s="6">
        <v>0</v>
      </c>
      <c r="B59" t="s">
        <v>19</v>
      </c>
      <c r="C59" t="s">
        <v>22</v>
      </c>
      <c r="D59" s="8">
        <v>0.371</v>
      </c>
      <c r="E59" s="22">
        <v>0</v>
      </c>
    </row>
    <row r="60" spans="1:5" x14ac:dyDescent="0.2">
      <c r="A60" s="6">
        <v>0</v>
      </c>
      <c r="B60" t="s">
        <v>19</v>
      </c>
      <c r="C60" t="s">
        <v>22</v>
      </c>
      <c r="D60" s="8">
        <v>0.34799999999999998</v>
      </c>
      <c r="E60" s="22">
        <v>0</v>
      </c>
    </row>
    <row r="61" spans="1:5" x14ac:dyDescent="0.2">
      <c r="A61" s="6">
        <v>0</v>
      </c>
      <c r="B61" t="s">
        <v>19</v>
      </c>
      <c r="C61" t="s">
        <v>22</v>
      </c>
      <c r="D61" s="8">
        <v>0.34499999999999997</v>
      </c>
      <c r="E61" s="22">
        <v>0</v>
      </c>
    </row>
    <row r="62" spans="1:5" x14ac:dyDescent="0.2">
      <c r="A62" s="6">
        <v>10</v>
      </c>
      <c r="B62" t="s">
        <v>19</v>
      </c>
      <c r="C62" t="s">
        <v>22</v>
      </c>
      <c r="D62" s="8">
        <v>0.36799999999999999</v>
      </c>
      <c r="E62" s="22">
        <v>1.5810031620063236E-3</v>
      </c>
    </row>
    <row r="63" spans="1:5" x14ac:dyDescent="0.2">
      <c r="A63" s="6">
        <v>10</v>
      </c>
      <c r="B63" t="s">
        <v>19</v>
      </c>
      <c r="C63" t="s">
        <v>22</v>
      </c>
      <c r="D63" s="8">
        <v>0.40899999999999997</v>
      </c>
      <c r="E63" s="22">
        <v>1.1780023560047112E-3</v>
      </c>
    </row>
    <row r="64" spans="1:5" x14ac:dyDescent="0.2">
      <c r="A64" s="6">
        <v>10</v>
      </c>
      <c r="B64" t="s">
        <v>19</v>
      </c>
      <c r="C64" t="s">
        <v>22</v>
      </c>
      <c r="D64" s="8">
        <v>0.39400000000000002</v>
      </c>
      <c r="E64" s="22">
        <v>1.4260028520057051E-3</v>
      </c>
    </row>
    <row r="65" spans="1:5" x14ac:dyDescent="0.2">
      <c r="A65" s="6">
        <v>10</v>
      </c>
      <c r="B65" t="s">
        <v>19</v>
      </c>
      <c r="C65" t="s">
        <v>22</v>
      </c>
      <c r="D65" s="8">
        <v>0.38600000000000001</v>
      </c>
      <c r="E65" s="22">
        <v>1.2710025420050849E-3</v>
      </c>
    </row>
    <row r="66" spans="1:5" x14ac:dyDescent="0.2">
      <c r="A66" s="6">
        <v>20</v>
      </c>
      <c r="B66" t="s">
        <v>19</v>
      </c>
      <c r="C66" t="s">
        <v>22</v>
      </c>
      <c r="D66" s="8">
        <v>0.38500000000000001</v>
      </c>
      <c r="E66" s="22">
        <v>2.1080042160084322E-3</v>
      </c>
    </row>
    <row r="67" spans="1:5" x14ac:dyDescent="0.2">
      <c r="A67" s="6">
        <v>20</v>
      </c>
      <c r="B67" t="s">
        <v>19</v>
      </c>
      <c r="C67" t="s">
        <v>22</v>
      </c>
      <c r="D67" s="8">
        <v>0.44</v>
      </c>
      <c r="E67" s="22">
        <v>2.1390042780085562E-3</v>
      </c>
    </row>
    <row r="68" spans="1:5" x14ac:dyDescent="0.2">
      <c r="A68" s="6">
        <v>20</v>
      </c>
      <c r="B68" t="s">
        <v>19</v>
      </c>
      <c r="C68" t="s">
        <v>22</v>
      </c>
      <c r="D68" s="8">
        <v>0.40699999999999997</v>
      </c>
      <c r="E68" s="22">
        <v>1.8290036580073158E-3</v>
      </c>
    </row>
    <row r="69" spans="1:5" x14ac:dyDescent="0.2">
      <c r="A69" s="6">
        <v>20</v>
      </c>
      <c r="B69" t="s">
        <v>19</v>
      </c>
      <c r="C69" t="s">
        <v>22</v>
      </c>
      <c r="D69" s="8">
        <v>0.40799999999999997</v>
      </c>
      <c r="E69" s="22">
        <v>1.9530039060078118E-3</v>
      </c>
    </row>
    <row r="70" spans="1:5" x14ac:dyDescent="0.2">
      <c r="A70" s="6">
        <v>30</v>
      </c>
      <c r="B70" t="s">
        <v>19</v>
      </c>
      <c r="C70" t="s">
        <v>22</v>
      </c>
      <c r="D70" s="8">
        <v>0.39100000000000001</v>
      </c>
      <c r="E70" s="22">
        <v>2.2940045880091762E-3</v>
      </c>
    </row>
    <row r="71" spans="1:5" x14ac:dyDescent="0.2">
      <c r="A71" s="6">
        <v>30</v>
      </c>
      <c r="B71" t="s">
        <v>19</v>
      </c>
      <c r="C71" t="s">
        <v>22</v>
      </c>
      <c r="D71" s="8">
        <v>0.44400000000000001</v>
      </c>
      <c r="E71" s="22">
        <v>2.2630045260090522E-3</v>
      </c>
    </row>
    <row r="72" spans="1:5" x14ac:dyDescent="0.2">
      <c r="A72" s="6">
        <v>30</v>
      </c>
      <c r="B72" t="s">
        <v>19</v>
      </c>
      <c r="C72" t="s">
        <v>22</v>
      </c>
      <c r="D72" s="8">
        <v>0.41799999999999998</v>
      </c>
      <c r="E72" s="22">
        <v>2.1700043400086802E-3</v>
      </c>
    </row>
    <row r="73" spans="1:5" x14ac:dyDescent="0.2">
      <c r="A73" s="6">
        <v>30</v>
      </c>
      <c r="B73" t="s">
        <v>19</v>
      </c>
      <c r="C73" t="s">
        <v>22</v>
      </c>
      <c r="D73" s="8">
        <v>0.41099999999999998</v>
      </c>
      <c r="E73" s="22">
        <v>2.0460040920081838E-3</v>
      </c>
    </row>
    <row r="74" spans="1:5" x14ac:dyDescent="0.2">
      <c r="A74" s="6">
        <v>40</v>
      </c>
      <c r="B74" t="s">
        <v>19</v>
      </c>
      <c r="C74" t="s">
        <v>22</v>
      </c>
      <c r="D74" s="8">
        <v>0.39700000000000002</v>
      </c>
      <c r="E74" s="22">
        <v>2.4800049600099201E-3</v>
      </c>
    </row>
    <row r="75" spans="1:5" x14ac:dyDescent="0.2">
      <c r="A75" s="6">
        <v>40</v>
      </c>
      <c r="B75" t="s">
        <v>19</v>
      </c>
      <c r="C75" t="s">
        <v>22</v>
      </c>
      <c r="D75" s="8">
        <v>0.443</v>
      </c>
      <c r="E75" s="22">
        <v>2.2320044640089282E-3</v>
      </c>
    </row>
    <row r="76" spans="1:5" x14ac:dyDescent="0.2">
      <c r="A76" s="6">
        <v>40</v>
      </c>
      <c r="B76" t="s">
        <v>19</v>
      </c>
      <c r="C76" t="s">
        <v>22</v>
      </c>
      <c r="D76" s="8">
        <v>0.41599999999999998</v>
      </c>
      <c r="E76" s="22">
        <v>2.1080042160084322E-3</v>
      </c>
    </row>
    <row r="77" spans="1:5" x14ac:dyDescent="0.2">
      <c r="A77" s="6">
        <v>40</v>
      </c>
      <c r="B77" t="s">
        <v>19</v>
      </c>
      <c r="C77" t="s">
        <v>22</v>
      </c>
      <c r="D77" s="8">
        <v>0.41299999999999998</v>
      </c>
      <c r="E77" s="22">
        <v>2.1080042160084322E-3</v>
      </c>
    </row>
    <row r="78" spans="1:5" x14ac:dyDescent="0.2">
      <c r="A78" s="6">
        <v>50</v>
      </c>
      <c r="B78" t="s">
        <v>19</v>
      </c>
      <c r="C78" t="s">
        <v>22</v>
      </c>
      <c r="D78" s="8">
        <v>0.39100000000000001</v>
      </c>
      <c r="E78" s="22">
        <v>2.2940045880091762E-3</v>
      </c>
    </row>
    <row r="79" spans="1:5" x14ac:dyDescent="0.2">
      <c r="A79" s="6">
        <v>50</v>
      </c>
      <c r="B79" t="s">
        <v>19</v>
      </c>
      <c r="C79" t="s">
        <v>22</v>
      </c>
      <c r="D79" s="8">
        <v>0.44800000000000001</v>
      </c>
      <c r="E79" s="22">
        <v>2.3870047740095482E-3</v>
      </c>
    </row>
    <row r="80" spans="1:5" x14ac:dyDescent="0.2">
      <c r="A80" s="6">
        <v>50</v>
      </c>
      <c r="B80" t="s">
        <v>19</v>
      </c>
      <c r="C80" t="s">
        <v>22</v>
      </c>
      <c r="D80" s="8">
        <v>0.42099999999999999</v>
      </c>
      <c r="E80" s="22">
        <v>2.2630045260090522E-3</v>
      </c>
    </row>
    <row r="81" spans="1:5" x14ac:dyDescent="0.2">
      <c r="A81" s="6">
        <v>50</v>
      </c>
      <c r="B81" t="s">
        <v>19</v>
      </c>
      <c r="C81" t="s">
        <v>22</v>
      </c>
      <c r="D81" s="8">
        <v>0.41799999999999998</v>
      </c>
      <c r="E81" s="22">
        <v>2.2630045260090522E-3</v>
      </c>
    </row>
    <row r="82" spans="1:5" x14ac:dyDescent="0.2">
      <c r="A82" s="6">
        <v>60</v>
      </c>
      <c r="B82" t="s">
        <v>19</v>
      </c>
      <c r="C82" t="s">
        <v>22</v>
      </c>
      <c r="D82" s="8">
        <v>0.38900000000000001</v>
      </c>
      <c r="E82" s="22">
        <v>2.2320044640089282E-3</v>
      </c>
    </row>
    <row r="83" spans="1:5" x14ac:dyDescent="0.2">
      <c r="A83" s="6">
        <v>60</v>
      </c>
      <c r="B83" t="s">
        <v>19</v>
      </c>
      <c r="C83" t="s">
        <v>22</v>
      </c>
      <c r="D83" s="8">
        <v>0.44700000000000001</v>
      </c>
      <c r="E83" s="22">
        <v>2.3560047120094242E-3</v>
      </c>
    </row>
    <row r="84" spans="1:5" x14ac:dyDescent="0.2">
      <c r="A84" s="6">
        <v>60</v>
      </c>
      <c r="B84" t="s">
        <v>19</v>
      </c>
      <c r="C84" t="s">
        <v>22</v>
      </c>
      <c r="D84" s="8">
        <v>0.41799999999999998</v>
      </c>
      <c r="E84" s="22">
        <v>2.1700043400086802E-3</v>
      </c>
    </row>
    <row r="85" spans="1:5" x14ac:dyDescent="0.2">
      <c r="A85" s="6">
        <v>60</v>
      </c>
      <c r="B85" t="s">
        <v>19</v>
      </c>
      <c r="C85" t="s">
        <v>22</v>
      </c>
      <c r="D85" s="8">
        <v>0.41599999999999998</v>
      </c>
      <c r="E85" s="22">
        <v>2.2010044020088042E-3</v>
      </c>
    </row>
    <row r="86" spans="1:5" x14ac:dyDescent="0.2">
      <c r="A86" s="6">
        <v>0</v>
      </c>
      <c r="B86" t="s">
        <v>19</v>
      </c>
      <c r="C86" t="s">
        <v>23</v>
      </c>
      <c r="D86" s="8">
        <v>0.35899999999999999</v>
      </c>
      <c r="E86" s="22">
        <v>0</v>
      </c>
    </row>
    <row r="87" spans="1:5" x14ac:dyDescent="0.2">
      <c r="A87" s="6">
        <v>0</v>
      </c>
      <c r="B87" t="s">
        <v>19</v>
      </c>
      <c r="C87" t="s">
        <v>23</v>
      </c>
      <c r="D87" s="8">
        <v>0.34599999999999997</v>
      </c>
      <c r="E87" s="22">
        <v>0</v>
      </c>
    </row>
    <row r="88" spans="1:5" x14ac:dyDescent="0.2">
      <c r="A88" s="6">
        <v>0</v>
      </c>
      <c r="B88" t="s">
        <v>19</v>
      </c>
      <c r="C88" t="s">
        <v>23</v>
      </c>
      <c r="D88" s="8">
        <v>0.38</v>
      </c>
      <c r="E88" s="22">
        <v>0</v>
      </c>
    </row>
    <row r="89" spans="1:5" x14ac:dyDescent="0.2">
      <c r="A89" s="6">
        <v>0</v>
      </c>
      <c r="B89" t="s">
        <v>19</v>
      </c>
      <c r="C89" t="s">
        <v>23</v>
      </c>
      <c r="D89" s="8">
        <v>0.374</v>
      </c>
      <c r="E89" s="22">
        <v>0</v>
      </c>
    </row>
    <row r="90" spans="1:5" x14ac:dyDescent="0.2">
      <c r="A90" s="6">
        <v>10</v>
      </c>
      <c r="B90" t="s">
        <v>19</v>
      </c>
      <c r="C90" t="s">
        <v>23</v>
      </c>
      <c r="D90" s="8">
        <v>0.40799999999999997</v>
      </c>
      <c r="E90" s="22">
        <v>1.5190030380060756E-3</v>
      </c>
    </row>
    <row r="91" spans="1:5" x14ac:dyDescent="0.2">
      <c r="A91" s="6">
        <v>10</v>
      </c>
      <c r="B91" t="s">
        <v>19</v>
      </c>
      <c r="C91" t="s">
        <v>23</v>
      </c>
      <c r="D91" s="8">
        <v>0.39300000000000002</v>
      </c>
      <c r="E91" s="22">
        <v>1.4570029140058291E-3</v>
      </c>
    </row>
    <row r="92" spans="1:5" x14ac:dyDescent="0.2">
      <c r="A92" s="6">
        <v>10</v>
      </c>
      <c r="B92" t="s">
        <v>19</v>
      </c>
      <c r="C92" t="s">
        <v>23</v>
      </c>
      <c r="D92" s="8">
        <v>0.434</v>
      </c>
      <c r="E92" s="22">
        <v>1.6740033480066956E-3</v>
      </c>
    </row>
    <row r="93" spans="1:5" x14ac:dyDescent="0.2">
      <c r="A93" s="6">
        <v>10</v>
      </c>
      <c r="B93" t="s">
        <v>19</v>
      </c>
      <c r="C93" t="s">
        <v>23</v>
      </c>
      <c r="D93" s="8">
        <v>0.42799999999999999</v>
      </c>
      <c r="E93" s="22">
        <v>1.6740033480066956E-3</v>
      </c>
    </row>
    <row r="94" spans="1:5" x14ac:dyDescent="0.2">
      <c r="A94" s="6">
        <v>20</v>
      </c>
      <c r="B94" t="s">
        <v>19</v>
      </c>
      <c r="C94" t="s">
        <v>23</v>
      </c>
      <c r="D94" s="8">
        <v>0.43</v>
      </c>
      <c r="E94" s="22">
        <v>2.2010044020088042E-3</v>
      </c>
    </row>
    <row r="95" spans="1:5" x14ac:dyDescent="0.2">
      <c r="A95" s="6">
        <v>20</v>
      </c>
      <c r="B95" t="s">
        <v>19</v>
      </c>
      <c r="C95" t="s">
        <v>23</v>
      </c>
      <c r="D95" s="8">
        <v>0.41199999999999998</v>
      </c>
      <c r="E95" s="22">
        <v>2.0460040920081838E-3</v>
      </c>
    </row>
    <row r="96" spans="1:5" x14ac:dyDescent="0.2">
      <c r="A96" s="6">
        <v>20</v>
      </c>
      <c r="B96" t="s">
        <v>19</v>
      </c>
      <c r="C96" t="s">
        <v>23</v>
      </c>
      <c r="D96" s="8">
        <v>0.45800000000000002</v>
      </c>
      <c r="E96" s="22">
        <v>2.4180048360096722E-3</v>
      </c>
    </row>
    <row r="97" spans="1:5" x14ac:dyDescent="0.2">
      <c r="A97" s="6">
        <v>20</v>
      </c>
      <c r="B97" t="s">
        <v>19</v>
      </c>
      <c r="C97" t="s">
        <v>23</v>
      </c>
      <c r="D97" s="8">
        <v>0.45400000000000001</v>
      </c>
      <c r="E97" s="22">
        <v>2.4800049600099201E-3</v>
      </c>
    </row>
    <row r="98" spans="1:5" x14ac:dyDescent="0.2">
      <c r="A98" s="6">
        <v>30</v>
      </c>
      <c r="B98" t="s">
        <v>19</v>
      </c>
      <c r="C98" t="s">
        <v>23</v>
      </c>
      <c r="D98" s="8">
        <v>0.438</v>
      </c>
      <c r="E98" s="22">
        <v>2.4490048980097961E-3</v>
      </c>
    </row>
    <row r="99" spans="1:5" x14ac:dyDescent="0.2">
      <c r="A99" s="6">
        <v>30</v>
      </c>
      <c r="B99" t="s">
        <v>19</v>
      </c>
      <c r="C99" t="s">
        <v>23</v>
      </c>
      <c r="D99" s="8">
        <v>0.42</v>
      </c>
      <c r="E99" s="22">
        <v>2.2940045880091762E-3</v>
      </c>
    </row>
    <row r="100" spans="1:5" x14ac:dyDescent="0.2">
      <c r="A100" s="6">
        <v>30</v>
      </c>
      <c r="B100" t="s">
        <v>19</v>
      </c>
      <c r="C100" t="s">
        <v>23</v>
      </c>
      <c r="D100" s="8">
        <v>0.46500000000000002</v>
      </c>
      <c r="E100" s="22">
        <v>2.6350052700105406E-3</v>
      </c>
    </row>
    <row r="101" spans="1:5" x14ac:dyDescent="0.2">
      <c r="A101" s="6">
        <v>30</v>
      </c>
      <c r="B101" t="s">
        <v>19</v>
      </c>
      <c r="C101" t="s">
        <v>23</v>
      </c>
      <c r="D101" s="8">
        <v>0.46</v>
      </c>
      <c r="E101" s="22">
        <v>2.6660053320106646E-3</v>
      </c>
    </row>
    <row r="102" spans="1:5" x14ac:dyDescent="0.2">
      <c r="A102" s="6">
        <v>40</v>
      </c>
      <c r="B102" t="s">
        <v>19</v>
      </c>
      <c r="C102" t="s">
        <v>23</v>
      </c>
      <c r="D102" s="8">
        <v>0.438</v>
      </c>
      <c r="E102" s="22">
        <v>2.4490048980097961E-3</v>
      </c>
    </row>
    <row r="103" spans="1:5" x14ac:dyDescent="0.2">
      <c r="A103" s="6">
        <v>40</v>
      </c>
      <c r="B103" t="s">
        <v>19</v>
      </c>
      <c r="C103" t="s">
        <v>23</v>
      </c>
      <c r="D103" s="8">
        <v>0.42499999999999999</v>
      </c>
      <c r="E103" s="22">
        <v>2.4490048980097961E-3</v>
      </c>
    </row>
    <row r="104" spans="1:5" x14ac:dyDescent="0.2">
      <c r="A104" s="6">
        <v>40</v>
      </c>
      <c r="B104" t="s">
        <v>19</v>
      </c>
      <c r="C104" t="s">
        <v>23</v>
      </c>
      <c r="D104" s="8">
        <v>0.47099999999999997</v>
      </c>
      <c r="E104" s="22">
        <v>2.8210056420112828E-3</v>
      </c>
    </row>
    <row r="105" spans="1:5" x14ac:dyDescent="0.2">
      <c r="A105" s="6">
        <v>40</v>
      </c>
      <c r="B105" t="s">
        <v>19</v>
      </c>
      <c r="C105" t="s">
        <v>23</v>
      </c>
      <c r="D105" s="8">
        <v>0.46</v>
      </c>
      <c r="E105" s="22">
        <v>2.6660053320106646E-3</v>
      </c>
    </row>
    <row r="106" spans="1:5" x14ac:dyDescent="0.2">
      <c r="A106" s="6">
        <v>50</v>
      </c>
      <c r="B106" t="s">
        <v>19</v>
      </c>
      <c r="C106" t="s">
        <v>23</v>
      </c>
      <c r="D106" s="8">
        <v>0.439</v>
      </c>
      <c r="E106" s="22">
        <v>2.4800049600099201E-3</v>
      </c>
    </row>
    <row r="107" spans="1:5" x14ac:dyDescent="0.2">
      <c r="A107" s="6">
        <v>50</v>
      </c>
      <c r="B107" t="s">
        <v>19</v>
      </c>
      <c r="C107" t="s">
        <v>23</v>
      </c>
      <c r="D107" s="8">
        <v>0.42499999999999999</v>
      </c>
      <c r="E107" s="22">
        <v>2.4490048980097961E-3</v>
      </c>
    </row>
    <row r="108" spans="1:5" x14ac:dyDescent="0.2">
      <c r="A108" s="6">
        <v>50</v>
      </c>
      <c r="B108" t="s">
        <v>19</v>
      </c>
      <c r="C108" t="s">
        <v>23</v>
      </c>
      <c r="D108" s="8">
        <v>0.47399999999999998</v>
      </c>
      <c r="E108" s="22">
        <v>2.9140058280116548E-3</v>
      </c>
    </row>
    <row r="109" spans="1:5" x14ac:dyDescent="0.2">
      <c r="A109" s="6">
        <v>50</v>
      </c>
      <c r="B109" t="s">
        <v>19</v>
      </c>
      <c r="C109" t="s">
        <v>23</v>
      </c>
      <c r="D109" s="8">
        <v>0.46600000000000003</v>
      </c>
      <c r="E109" s="22">
        <v>2.8520057040114085E-3</v>
      </c>
    </row>
    <row r="110" spans="1:5" x14ac:dyDescent="0.2">
      <c r="A110" s="6">
        <v>60</v>
      </c>
      <c r="B110" t="s">
        <v>19</v>
      </c>
      <c r="C110" t="s">
        <v>23</v>
      </c>
      <c r="D110" s="8">
        <v>0.438</v>
      </c>
      <c r="E110" s="22">
        <v>2.4490048980097961E-3</v>
      </c>
    </row>
    <row r="111" spans="1:5" x14ac:dyDescent="0.2">
      <c r="A111" s="6">
        <v>60</v>
      </c>
      <c r="B111" t="s">
        <v>19</v>
      </c>
      <c r="C111" t="s">
        <v>23</v>
      </c>
      <c r="D111" s="8">
        <v>0.434</v>
      </c>
      <c r="E111" s="22">
        <v>2.7280054560109126E-3</v>
      </c>
    </row>
    <row r="112" spans="1:5" x14ac:dyDescent="0.2">
      <c r="A112" s="6">
        <v>60</v>
      </c>
      <c r="B112" t="s">
        <v>19</v>
      </c>
      <c r="C112" t="s">
        <v>23</v>
      </c>
      <c r="D112" s="8">
        <v>0.47499999999999998</v>
      </c>
      <c r="E112" s="22">
        <v>2.9450058900117788E-3</v>
      </c>
    </row>
    <row r="113" spans="1:5" x14ac:dyDescent="0.2">
      <c r="A113" s="6">
        <v>60</v>
      </c>
      <c r="B113" t="s">
        <v>19</v>
      </c>
      <c r="C113" t="s">
        <v>23</v>
      </c>
      <c r="D113" s="8">
        <v>0.46899999999999997</v>
      </c>
      <c r="E113" s="22">
        <v>2.9450058900117788E-3</v>
      </c>
    </row>
    <row r="114" spans="1:5" x14ac:dyDescent="0.2">
      <c r="A114" s="6">
        <v>0</v>
      </c>
      <c r="B114" t="s">
        <v>19</v>
      </c>
      <c r="C114" t="s">
        <v>24</v>
      </c>
      <c r="D114" s="8">
        <v>0.35199999999999998</v>
      </c>
      <c r="E114" s="22">
        <v>0</v>
      </c>
    </row>
    <row r="115" spans="1:5" x14ac:dyDescent="0.2">
      <c r="A115" s="6">
        <v>0</v>
      </c>
      <c r="B115" t="s">
        <v>19</v>
      </c>
      <c r="C115" t="s">
        <v>24</v>
      </c>
      <c r="D115" s="8">
        <v>0.35799999999999998</v>
      </c>
      <c r="E115" s="22">
        <v>0</v>
      </c>
    </row>
    <row r="116" spans="1:5" x14ac:dyDescent="0.2">
      <c r="A116" s="6">
        <v>0</v>
      </c>
      <c r="B116" t="s">
        <v>19</v>
      </c>
      <c r="C116" t="s">
        <v>24</v>
      </c>
      <c r="D116" s="8">
        <v>0.35299999999999998</v>
      </c>
      <c r="E116" s="22">
        <v>0</v>
      </c>
    </row>
    <row r="117" spans="1:5" x14ac:dyDescent="0.2">
      <c r="A117" s="6">
        <v>0</v>
      </c>
      <c r="B117" t="s">
        <v>19</v>
      </c>
      <c r="C117" t="s">
        <v>24</v>
      </c>
      <c r="D117" s="8">
        <v>0.36699999999999999</v>
      </c>
      <c r="E117" s="22">
        <v>0</v>
      </c>
    </row>
    <row r="118" spans="1:5" x14ac:dyDescent="0.2">
      <c r="A118" s="6">
        <v>10</v>
      </c>
      <c r="B118" t="s">
        <v>19</v>
      </c>
      <c r="C118" t="s">
        <v>24</v>
      </c>
      <c r="D118" s="8">
        <v>0.40699999999999997</v>
      </c>
      <c r="E118" s="22">
        <v>1.7050034100068196E-3</v>
      </c>
    </row>
    <row r="119" spans="1:5" x14ac:dyDescent="0.2">
      <c r="A119" s="6">
        <v>10</v>
      </c>
      <c r="B119" t="s">
        <v>19</v>
      </c>
      <c r="C119" t="s">
        <v>24</v>
      </c>
      <c r="D119" s="8">
        <v>0.41</v>
      </c>
      <c r="E119" s="22">
        <v>1.6120032240064476E-3</v>
      </c>
    </row>
    <row r="120" spans="1:5" x14ac:dyDescent="0.2">
      <c r="A120" s="6">
        <v>10</v>
      </c>
      <c r="B120" t="s">
        <v>19</v>
      </c>
      <c r="C120" t="s">
        <v>24</v>
      </c>
      <c r="D120" s="8">
        <v>0.40600000000000003</v>
      </c>
      <c r="E120" s="22">
        <v>1.6430032860065733E-3</v>
      </c>
    </row>
    <row r="121" spans="1:5" x14ac:dyDescent="0.2">
      <c r="A121" s="6">
        <v>10</v>
      </c>
      <c r="B121" t="s">
        <v>19</v>
      </c>
      <c r="C121" t="s">
        <v>24</v>
      </c>
      <c r="D121" s="8">
        <v>0.41599999999999998</v>
      </c>
      <c r="E121" s="22">
        <v>1.5190030380060756E-3</v>
      </c>
    </row>
    <row r="122" spans="1:5" x14ac:dyDescent="0.2">
      <c r="A122" s="6">
        <v>20</v>
      </c>
      <c r="B122" t="s">
        <v>19</v>
      </c>
      <c r="C122" t="s">
        <v>24</v>
      </c>
      <c r="D122" s="8">
        <v>0.42699999999999999</v>
      </c>
      <c r="E122" s="22">
        <v>2.3250046500093002E-3</v>
      </c>
    </row>
    <row r="123" spans="1:5" x14ac:dyDescent="0.2">
      <c r="A123" s="6">
        <v>20</v>
      </c>
      <c r="B123" t="s">
        <v>19</v>
      </c>
      <c r="C123" t="s">
        <v>24</v>
      </c>
      <c r="D123" s="8">
        <v>0.432</v>
      </c>
      <c r="E123" s="22">
        <v>2.2940045880091762E-3</v>
      </c>
    </row>
    <row r="124" spans="1:5" x14ac:dyDescent="0.2">
      <c r="A124" s="6">
        <v>20</v>
      </c>
      <c r="B124" t="s">
        <v>19</v>
      </c>
      <c r="C124" t="s">
        <v>24</v>
      </c>
      <c r="D124" s="8">
        <v>0.42899999999999999</v>
      </c>
      <c r="E124" s="22">
        <v>2.3560047120094242E-3</v>
      </c>
    </row>
    <row r="125" spans="1:5" x14ac:dyDescent="0.2">
      <c r="A125" s="6">
        <v>20</v>
      </c>
      <c r="B125" t="s">
        <v>19</v>
      </c>
      <c r="C125" t="s">
        <v>24</v>
      </c>
      <c r="D125" s="8">
        <v>0.437</v>
      </c>
      <c r="E125" s="22">
        <v>2.1700043400086802E-3</v>
      </c>
    </row>
    <row r="126" spans="1:5" x14ac:dyDescent="0.2">
      <c r="A126" s="6">
        <v>30</v>
      </c>
      <c r="B126" t="s">
        <v>19</v>
      </c>
      <c r="C126" t="s">
        <v>24</v>
      </c>
      <c r="D126" s="8">
        <v>0.43</v>
      </c>
      <c r="E126" s="22">
        <v>2.4180048360096722E-3</v>
      </c>
    </row>
    <row r="127" spans="1:5" x14ac:dyDescent="0.2">
      <c r="A127" s="6">
        <v>30</v>
      </c>
      <c r="B127" t="s">
        <v>19</v>
      </c>
      <c r="C127" t="s">
        <v>24</v>
      </c>
      <c r="D127" s="8">
        <v>0.436</v>
      </c>
      <c r="E127" s="22">
        <v>2.4180048360096722E-3</v>
      </c>
    </row>
    <row r="128" spans="1:5" x14ac:dyDescent="0.2">
      <c r="A128" s="6">
        <v>30</v>
      </c>
      <c r="B128" t="s">
        <v>19</v>
      </c>
      <c r="C128" t="s">
        <v>24</v>
      </c>
      <c r="D128" s="8">
        <v>0.433</v>
      </c>
      <c r="E128" s="22">
        <v>2.4800049600099201E-3</v>
      </c>
    </row>
    <row r="129" spans="1:5" x14ac:dyDescent="0.2">
      <c r="A129" s="6">
        <v>30</v>
      </c>
      <c r="B129" t="s">
        <v>19</v>
      </c>
      <c r="C129" t="s">
        <v>24</v>
      </c>
      <c r="D129" s="8">
        <v>0.442</v>
      </c>
      <c r="E129" s="22">
        <v>2.3250046500093002E-3</v>
      </c>
    </row>
    <row r="130" spans="1:5" x14ac:dyDescent="0.2">
      <c r="A130" s="6">
        <v>40</v>
      </c>
      <c r="B130" t="s">
        <v>19</v>
      </c>
      <c r="C130" t="s">
        <v>24</v>
      </c>
      <c r="D130" s="8">
        <v>0.43099999999999999</v>
      </c>
      <c r="E130" s="22">
        <v>2.4490048980097961E-3</v>
      </c>
    </row>
    <row r="131" spans="1:5" x14ac:dyDescent="0.2">
      <c r="A131" s="6">
        <v>40</v>
      </c>
      <c r="B131" t="s">
        <v>19</v>
      </c>
      <c r="C131" t="s">
        <v>24</v>
      </c>
      <c r="D131" s="8">
        <v>0.433</v>
      </c>
      <c r="E131" s="22">
        <v>2.3250046500093002E-3</v>
      </c>
    </row>
    <row r="132" spans="1:5" x14ac:dyDescent="0.2">
      <c r="A132" s="6">
        <v>40</v>
      </c>
      <c r="B132" t="s">
        <v>19</v>
      </c>
      <c r="C132" t="s">
        <v>24</v>
      </c>
      <c r="D132" s="8">
        <v>0.42899999999999999</v>
      </c>
      <c r="E132" s="22">
        <v>2.3560047120094242E-3</v>
      </c>
    </row>
    <row r="133" spans="1:5" x14ac:dyDescent="0.2">
      <c r="A133" s="6">
        <v>40</v>
      </c>
      <c r="B133" t="s">
        <v>19</v>
      </c>
      <c r="C133" t="s">
        <v>24</v>
      </c>
      <c r="D133" s="8">
        <v>0.44600000000000001</v>
      </c>
      <c r="E133" s="22">
        <v>2.4490048980097961E-3</v>
      </c>
    </row>
    <row r="134" spans="1:5" x14ac:dyDescent="0.2">
      <c r="A134" s="6">
        <v>50</v>
      </c>
      <c r="B134" t="s">
        <v>19</v>
      </c>
      <c r="C134" t="s">
        <v>24</v>
      </c>
      <c r="D134" s="8">
        <v>0.43</v>
      </c>
      <c r="E134" s="22">
        <v>2.4180048360096722E-3</v>
      </c>
    </row>
    <row r="135" spans="1:5" x14ac:dyDescent="0.2">
      <c r="A135" s="6">
        <v>50</v>
      </c>
      <c r="B135" t="s">
        <v>19</v>
      </c>
      <c r="C135" t="s">
        <v>24</v>
      </c>
      <c r="D135" s="8">
        <v>0.437</v>
      </c>
      <c r="E135" s="22">
        <v>2.4490048980097961E-3</v>
      </c>
    </row>
    <row r="136" spans="1:5" x14ac:dyDescent="0.2">
      <c r="A136" s="6">
        <v>50</v>
      </c>
      <c r="B136" t="s">
        <v>19</v>
      </c>
      <c r="C136" t="s">
        <v>24</v>
      </c>
      <c r="D136" s="8">
        <v>0.433</v>
      </c>
      <c r="E136" s="22">
        <v>2.4800049600099201E-3</v>
      </c>
    </row>
    <row r="137" spans="1:5" x14ac:dyDescent="0.2">
      <c r="A137" s="6">
        <v>50</v>
      </c>
      <c r="B137" t="s">
        <v>19</v>
      </c>
      <c r="C137" t="s">
        <v>24</v>
      </c>
      <c r="D137" s="8">
        <v>0.44900000000000001</v>
      </c>
      <c r="E137" s="22">
        <v>2.5420050840101681E-3</v>
      </c>
    </row>
    <row r="138" spans="1:5" x14ac:dyDescent="0.2">
      <c r="A138" s="6">
        <v>60</v>
      </c>
      <c r="B138" t="s">
        <v>19</v>
      </c>
      <c r="C138" t="s">
        <v>24</v>
      </c>
      <c r="D138" s="8">
        <v>0.42799999999999999</v>
      </c>
      <c r="E138" s="22">
        <v>2.3560047120094242E-3</v>
      </c>
    </row>
    <row r="139" spans="1:5" x14ac:dyDescent="0.2">
      <c r="A139" s="6">
        <v>60</v>
      </c>
      <c r="B139" t="s">
        <v>19</v>
      </c>
      <c r="C139" t="s">
        <v>24</v>
      </c>
      <c r="D139" s="8">
        <v>0.439</v>
      </c>
      <c r="E139" s="22">
        <v>2.5110050220100441E-3</v>
      </c>
    </row>
    <row r="140" spans="1:5" x14ac:dyDescent="0.2">
      <c r="A140" s="6">
        <v>60</v>
      </c>
      <c r="B140" t="s">
        <v>19</v>
      </c>
      <c r="C140" t="s">
        <v>24</v>
      </c>
      <c r="D140" s="8">
        <v>0.434</v>
      </c>
      <c r="E140" s="22">
        <v>2.5110050220100441E-3</v>
      </c>
    </row>
    <row r="141" spans="1:5" x14ac:dyDescent="0.2">
      <c r="A141" s="6">
        <v>60</v>
      </c>
      <c r="B141" t="s">
        <v>19</v>
      </c>
      <c r="C141" t="s">
        <v>24</v>
      </c>
      <c r="D141" s="8">
        <v>0.44800000000000001</v>
      </c>
      <c r="E141" s="22">
        <v>2.5110050220100441E-3</v>
      </c>
    </row>
    <row r="142" spans="1:5" x14ac:dyDescent="0.2">
      <c r="A142" s="6">
        <v>0</v>
      </c>
      <c r="B142" t="s">
        <v>19</v>
      </c>
      <c r="C142" t="s">
        <v>25</v>
      </c>
      <c r="D142" s="8">
        <v>0.38200000000000001</v>
      </c>
      <c r="E142" s="22">
        <v>0</v>
      </c>
    </row>
    <row r="143" spans="1:5" x14ac:dyDescent="0.2">
      <c r="A143" s="6">
        <v>0</v>
      </c>
      <c r="B143" t="s">
        <v>19</v>
      </c>
      <c r="C143" t="s">
        <v>25</v>
      </c>
      <c r="D143" s="8">
        <v>0.436</v>
      </c>
      <c r="E143" s="22">
        <v>0</v>
      </c>
    </row>
    <row r="144" spans="1:5" x14ac:dyDescent="0.2">
      <c r="A144" s="6">
        <v>0</v>
      </c>
      <c r="B144" t="s">
        <v>19</v>
      </c>
      <c r="C144" t="s">
        <v>25</v>
      </c>
      <c r="D144" s="8">
        <v>0.40100000000000002</v>
      </c>
      <c r="E144" s="22">
        <v>0</v>
      </c>
    </row>
    <row r="145" spans="1:5" x14ac:dyDescent="0.2">
      <c r="A145" s="6">
        <v>0</v>
      </c>
      <c r="B145" t="s">
        <v>19</v>
      </c>
      <c r="C145" t="s">
        <v>25</v>
      </c>
      <c r="D145" s="8">
        <v>0.41799999999999998</v>
      </c>
      <c r="E145" s="22">
        <v>0</v>
      </c>
    </row>
    <row r="146" spans="1:5" x14ac:dyDescent="0.2">
      <c r="A146" s="6">
        <v>10</v>
      </c>
      <c r="B146" t="s">
        <v>19</v>
      </c>
      <c r="C146" t="s">
        <v>25</v>
      </c>
      <c r="D146" s="8">
        <v>0.437</v>
      </c>
      <c r="E146" s="22">
        <v>1.7050034100068196E-3</v>
      </c>
    </row>
    <row r="147" spans="1:5" x14ac:dyDescent="0.2">
      <c r="A147" s="6">
        <v>10</v>
      </c>
      <c r="B147" t="s">
        <v>19</v>
      </c>
      <c r="C147" t="s">
        <v>25</v>
      </c>
      <c r="D147" s="8">
        <v>0.496</v>
      </c>
      <c r="E147" s="22">
        <v>1.8600037200074398E-3</v>
      </c>
    </row>
    <row r="148" spans="1:5" x14ac:dyDescent="0.2">
      <c r="A148" s="6">
        <v>10</v>
      </c>
      <c r="B148" t="s">
        <v>19</v>
      </c>
      <c r="C148" t="s">
        <v>25</v>
      </c>
      <c r="D148" s="8">
        <v>0.45200000000000001</v>
      </c>
      <c r="E148" s="22">
        <v>1.5810031620063236E-3</v>
      </c>
    </row>
    <row r="149" spans="1:5" x14ac:dyDescent="0.2">
      <c r="A149" s="6">
        <v>10</v>
      </c>
      <c r="B149" t="s">
        <v>19</v>
      </c>
      <c r="C149" t="s">
        <v>25</v>
      </c>
      <c r="D149" s="8">
        <v>0.47399999999999998</v>
      </c>
      <c r="E149" s="22">
        <v>1.7360034720069438E-3</v>
      </c>
    </row>
    <row r="150" spans="1:5" x14ac:dyDescent="0.2">
      <c r="A150" s="6">
        <v>20</v>
      </c>
      <c r="B150" t="s">
        <v>19</v>
      </c>
      <c r="C150" t="s">
        <v>25</v>
      </c>
      <c r="D150" s="8">
        <v>0.45700000000000002</v>
      </c>
      <c r="E150" s="22">
        <v>2.3250046500093002E-3</v>
      </c>
    </row>
    <row r="151" spans="1:5" x14ac:dyDescent="0.2">
      <c r="A151" s="6">
        <v>20</v>
      </c>
      <c r="B151" t="s">
        <v>19</v>
      </c>
      <c r="C151" t="s">
        <v>25</v>
      </c>
      <c r="D151" s="8">
        <v>0.52200000000000002</v>
      </c>
      <c r="E151" s="22">
        <v>2.6660053320106646E-3</v>
      </c>
    </row>
    <row r="152" spans="1:5" x14ac:dyDescent="0.2">
      <c r="A152" s="6">
        <v>20</v>
      </c>
      <c r="B152" t="s">
        <v>19</v>
      </c>
      <c r="C152" t="s">
        <v>25</v>
      </c>
      <c r="D152" s="8">
        <v>0.47799999999999998</v>
      </c>
      <c r="E152" s="22">
        <v>2.3870047740095464E-3</v>
      </c>
    </row>
    <row r="153" spans="1:5" x14ac:dyDescent="0.2">
      <c r="A153" s="6">
        <v>20</v>
      </c>
      <c r="B153" t="s">
        <v>19</v>
      </c>
      <c r="C153" t="s">
        <v>25</v>
      </c>
      <c r="D153" s="8">
        <v>0.502</v>
      </c>
      <c r="E153" s="22">
        <v>2.6040052080104166E-3</v>
      </c>
    </row>
    <row r="154" spans="1:5" x14ac:dyDescent="0.2">
      <c r="A154" s="6">
        <v>30</v>
      </c>
      <c r="B154" t="s">
        <v>19</v>
      </c>
      <c r="C154" t="s">
        <v>25</v>
      </c>
      <c r="D154" s="8">
        <v>0.46200000000000002</v>
      </c>
      <c r="E154" s="22">
        <v>2.4800049600099201E-3</v>
      </c>
    </row>
    <row r="155" spans="1:5" x14ac:dyDescent="0.2">
      <c r="A155" s="6">
        <v>30</v>
      </c>
      <c r="B155" t="s">
        <v>19</v>
      </c>
      <c r="C155" t="s">
        <v>25</v>
      </c>
      <c r="D155" s="8">
        <v>0.52800000000000002</v>
      </c>
      <c r="E155" s="22">
        <v>2.8520057040114085E-3</v>
      </c>
    </row>
    <row r="156" spans="1:5" x14ac:dyDescent="0.2">
      <c r="A156" s="6">
        <v>30</v>
      </c>
      <c r="B156" t="s">
        <v>19</v>
      </c>
      <c r="C156" t="s">
        <v>25</v>
      </c>
      <c r="D156" s="8">
        <v>0.48399999999999999</v>
      </c>
      <c r="E156" s="22">
        <v>2.5730051460102908E-3</v>
      </c>
    </row>
    <row r="157" spans="1:5" x14ac:dyDescent="0.2">
      <c r="A157" s="6">
        <v>30</v>
      </c>
      <c r="B157" t="s">
        <v>19</v>
      </c>
      <c r="C157" t="s">
        <v>25</v>
      </c>
      <c r="D157" s="8">
        <v>0.51200000000000001</v>
      </c>
      <c r="E157" s="22">
        <v>2.9140058280116565E-3</v>
      </c>
    </row>
    <row r="158" spans="1:5" x14ac:dyDescent="0.2">
      <c r="A158" s="6">
        <v>40</v>
      </c>
      <c r="B158" t="s">
        <v>19</v>
      </c>
      <c r="C158" t="s">
        <v>25</v>
      </c>
      <c r="D158" s="8">
        <v>0.46400000000000002</v>
      </c>
      <c r="E158" s="22">
        <v>2.5420050840101681E-3</v>
      </c>
    </row>
    <row r="159" spans="1:5" x14ac:dyDescent="0.2">
      <c r="A159" s="6">
        <v>40</v>
      </c>
      <c r="B159" t="s">
        <v>19</v>
      </c>
      <c r="C159" t="s">
        <v>25</v>
      </c>
      <c r="D159" s="8">
        <v>0.53200000000000003</v>
      </c>
      <c r="E159" s="22">
        <v>2.9760059520119045E-3</v>
      </c>
    </row>
    <row r="160" spans="1:5" x14ac:dyDescent="0.2">
      <c r="A160" s="6">
        <v>40</v>
      </c>
      <c r="B160" t="s">
        <v>19</v>
      </c>
      <c r="C160" t="s">
        <v>25</v>
      </c>
      <c r="D160" s="8">
        <v>0.48399999999999999</v>
      </c>
      <c r="E160" s="22">
        <v>2.5730051460102908E-3</v>
      </c>
    </row>
    <row r="161" spans="1:5" x14ac:dyDescent="0.2">
      <c r="A161" s="6">
        <v>40</v>
      </c>
      <c r="B161" t="s">
        <v>19</v>
      </c>
      <c r="C161" t="s">
        <v>25</v>
      </c>
      <c r="D161" s="8">
        <v>0.50900000000000001</v>
      </c>
      <c r="E161" s="22">
        <v>2.8210056420112845E-3</v>
      </c>
    </row>
    <row r="162" spans="1:5" x14ac:dyDescent="0.2">
      <c r="A162" s="6">
        <v>50</v>
      </c>
      <c r="B162" t="s">
        <v>19</v>
      </c>
      <c r="C162" t="s">
        <v>25</v>
      </c>
      <c r="D162" s="8">
        <v>0.46400000000000002</v>
      </c>
      <c r="E162" s="22">
        <v>2.5420050840101681E-3</v>
      </c>
    </row>
    <row r="163" spans="1:5" x14ac:dyDescent="0.2">
      <c r="A163" s="6">
        <v>50</v>
      </c>
      <c r="B163" t="s">
        <v>19</v>
      </c>
      <c r="C163" t="s">
        <v>25</v>
      </c>
      <c r="D163" s="8">
        <v>0.53200000000000003</v>
      </c>
      <c r="E163" s="22">
        <v>2.9760059520119045E-3</v>
      </c>
    </row>
    <row r="164" spans="1:5" x14ac:dyDescent="0.2">
      <c r="A164" s="6">
        <v>50</v>
      </c>
      <c r="B164" t="s">
        <v>19</v>
      </c>
      <c r="C164" t="s">
        <v>25</v>
      </c>
      <c r="D164" s="8">
        <v>0.48599999999999999</v>
      </c>
      <c r="E164" s="22">
        <v>2.6350052700105388E-3</v>
      </c>
    </row>
    <row r="165" spans="1:5" x14ac:dyDescent="0.2">
      <c r="A165" s="6">
        <v>50</v>
      </c>
      <c r="B165" t="s">
        <v>19</v>
      </c>
      <c r="C165" t="s">
        <v>25</v>
      </c>
      <c r="D165" s="8">
        <v>0.51100000000000001</v>
      </c>
      <c r="E165" s="22">
        <v>2.8830057660115325E-3</v>
      </c>
    </row>
    <row r="166" spans="1:5" x14ac:dyDescent="0.2">
      <c r="A166" s="6">
        <v>60</v>
      </c>
      <c r="B166" t="s">
        <v>19</v>
      </c>
      <c r="C166" t="s">
        <v>25</v>
      </c>
      <c r="D166" s="8">
        <v>0.46400000000000002</v>
      </c>
      <c r="E166" s="22">
        <v>2.5420050840101681E-3</v>
      </c>
    </row>
    <row r="167" spans="1:5" x14ac:dyDescent="0.2">
      <c r="A167" s="6">
        <v>60</v>
      </c>
      <c r="B167" t="s">
        <v>19</v>
      </c>
      <c r="C167" t="s">
        <v>25</v>
      </c>
      <c r="D167" s="8">
        <v>0.52900000000000003</v>
      </c>
      <c r="E167" s="22">
        <v>2.8830057660115325E-3</v>
      </c>
    </row>
    <row r="168" spans="1:5" x14ac:dyDescent="0.2">
      <c r="A168" s="6">
        <v>60</v>
      </c>
      <c r="B168" t="s">
        <v>19</v>
      </c>
      <c r="C168" t="s">
        <v>25</v>
      </c>
      <c r="D168" s="8">
        <v>0.48699999999999999</v>
      </c>
      <c r="E168" s="22">
        <v>2.6660053320106628E-3</v>
      </c>
    </row>
    <row r="169" spans="1:5" x14ac:dyDescent="0.2">
      <c r="A169" s="6">
        <v>60</v>
      </c>
      <c r="B169" t="s">
        <v>19</v>
      </c>
      <c r="C169" t="s">
        <v>25</v>
      </c>
      <c r="D169" s="8">
        <v>0.51600000000000001</v>
      </c>
      <c r="E169" s="22">
        <v>3.0380060760121529E-3</v>
      </c>
    </row>
    <row r="170" spans="1:5" x14ac:dyDescent="0.2">
      <c r="A170" s="6">
        <v>0</v>
      </c>
      <c r="B170" t="s">
        <v>28</v>
      </c>
      <c r="C170" t="s">
        <v>20</v>
      </c>
      <c r="D170" s="7">
        <v>0.36899999999999999</v>
      </c>
      <c r="E170" s="22">
        <v>0</v>
      </c>
    </row>
    <row r="171" spans="1:5" x14ac:dyDescent="0.2">
      <c r="A171" s="6">
        <v>0</v>
      </c>
      <c r="B171" t="s">
        <v>28</v>
      </c>
      <c r="C171" t="s">
        <v>20</v>
      </c>
      <c r="D171" s="7">
        <v>0.38200000000000001</v>
      </c>
      <c r="E171" s="22">
        <v>0</v>
      </c>
    </row>
    <row r="172" spans="1:5" x14ac:dyDescent="0.2">
      <c r="A172" s="6">
        <v>0</v>
      </c>
      <c r="B172" t="s">
        <v>28</v>
      </c>
      <c r="C172" t="s">
        <v>20</v>
      </c>
      <c r="D172" s="7">
        <v>0.35699999999999998</v>
      </c>
      <c r="E172" s="22">
        <v>0</v>
      </c>
    </row>
    <row r="173" spans="1:5" x14ac:dyDescent="0.2">
      <c r="A173" s="6">
        <v>0</v>
      </c>
      <c r="B173" t="s">
        <v>28</v>
      </c>
      <c r="C173" t="s">
        <v>20</v>
      </c>
      <c r="D173" s="7">
        <v>0.33700000000000002</v>
      </c>
      <c r="E173" s="22">
        <v>0</v>
      </c>
    </row>
    <row r="174" spans="1:5" x14ac:dyDescent="0.2">
      <c r="A174" s="6">
        <v>4</v>
      </c>
      <c r="B174" t="s">
        <v>28</v>
      </c>
      <c r="C174" t="s">
        <v>20</v>
      </c>
      <c r="D174" s="7">
        <v>0.59399999999999997</v>
      </c>
      <c r="E174" s="22">
        <v>6.9750139500278988E-3</v>
      </c>
    </row>
    <row r="175" spans="1:5" x14ac:dyDescent="0.2">
      <c r="A175" s="6">
        <v>4</v>
      </c>
      <c r="B175" t="s">
        <v>28</v>
      </c>
      <c r="C175" t="s">
        <v>20</v>
      </c>
      <c r="D175" s="7">
        <v>0.61</v>
      </c>
      <c r="E175" s="22">
        <v>7.0680141360282712E-3</v>
      </c>
    </row>
    <row r="176" spans="1:5" x14ac:dyDescent="0.2">
      <c r="A176" s="6">
        <v>4</v>
      </c>
      <c r="B176" t="s">
        <v>28</v>
      </c>
      <c r="C176" t="s">
        <v>20</v>
      </c>
      <c r="D176" s="7">
        <v>0.55200000000000005</v>
      </c>
      <c r="E176" s="22">
        <v>6.0450120900241815E-3</v>
      </c>
    </row>
    <row r="177" spans="1:5" x14ac:dyDescent="0.2">
      <c r="A177" s="6">
        <v>4</v>
      </c>
      <c r="B177" t="s">
        <v>28</v>
      </c>
      <c r="C177" t="s">
        <v>20</v>
      </c>
      <c r="D177" s="7">
        <v>0.52500000000000002</v>
      </c>
      <c r="E177" s="22">
        <v>5.8280116560233113E-3</v>
      </c>
    </row>
    <row r="178" spans="1:5" x14ac:dyDescent="0.2">
      <c r="A178" s="6">
        <v>8</v>
      </c>
      <c r="B178" t="s">
        <v>28</v>
      </c>
      <c r="C178" t="s">
        <v>20</v>
      </c>
      <c r="D178" s="7">
        <v>0.59099999999999997</v>
      </c>
      <c r="E178" s="22">
        <v>6.8820137640275263E-3</v>
      </c>
    </row>
    <row r="179" spans="1:5" x14ac:dyDescent="0.2">
      <c r="A179" s="6">
        <v>8</v>
      </c>
      <c r="B179" t="s">
        <v>28</v>
      </c>
      <c r="C179" t="s">
        <v>20</v>
      </c>
      <c r="D179" s="7">
        <v>0.627</v>
      </c>
      <c r="E179" s="22">
        <v>7.5950151900303796E-3</v>
      </c>
    </row>
    <row r="180" spans="1:5" x14ac:dyDescent="0.2">
      <c r="A180" s="6">
        <v>8</v>
      </c>
      <c r="B180" t="s">
        <v>28</v>
      </c>
      <c r="C180" t="s">
        <v>20</v>
      </c>
      <c r="D180" s="7">
        <v>0.56899999999999995</v>
      </c>
      <c r="E180" s="22">
        <v>6.5720131440262864E-3</v>
      </c>
    </row>
    <row r="181" spans="1:5" x14ac:dyDescent="0.2">
      <c r="A181" s="6">
        <v>8</v>
      </c>
      <c r="B181" t="s">
        <v>28</v>
      </c>
      <c r="C181" t="s">
        <v>20</v>
      </c>
      <c r="D181" s="7">
        <v>0.52700000000000002</v>
      </c>
      <c r="E181" s="22">
        <v>5.8900117800235593E-3</v>
      </c>
    </row>
    <row r="182" spans="1:5" x14ac:dyDescent="0.2">
      <c r="A182" s="6">
        <v>12</v>
      </c>
      <c r="B182" t="s">
        <v>28</v>
      </c>
      <c r="C182" t="s">
        <v>20</v>
      </c>
      <c r="D182" s="7">
        <v>0.59</v>
      </c>
      <c r="E182" s="22">
        <v>6.8510137020274028E-3</v>
      </c>
    </row>
    <row r="183" spans="1:5" x14ac:dyDescent="0.2">
      <c r="A183" s="6">
        <v>12</v>
      </c>
      <c r="B183" t="s">
        <v>28</v>
      </c>
      <c r="C183" t="s">
        <v>20</v>
      </c>
      <c r="D183" s="7">
        <v>0.61799999999999999</v>
      </c>
      <c r="E183" s="22">
        <v>7.3160146320292632E-3</v>
      </c>
    </row>
    <row r="184" spans="1:5" x14ac:dyDescent="0.2">
      <c r="A184" s="6">
        <v>12</v>
      </c>
      <c r="B184" t="s">
        <v>28</v>
      </c>
      <c r="C184" t="s">
        <v>20</v>
      </c>
      <c r="D184" s="7">
        <v>0.56399999999999995</v>
      </c>
      <c r="E184" s="22">
        <v>6.417012834025666E-3</v>
      </c>
    </row>
    <row r="185" spans="1:5" x14ac:dyDescent="0.2">
      <c r="A185" s="6">
        <v>12</v>
      </c>
      <c r="B185" t="s">
        <v>28</v>
      </c>
      <c r="C185" t="s">
        <v>20</v>
      </c>
      <c r="D185" s="7">
        <v>0.53500000000000003</v>
      </c>
      <c r="E185" s="22">
        <v>6.1380122760245522E-3</v>
      </c>
    </row>
    <row r="186" spans="1:5" x14ac:dyDescent="0.2">
      <c r="A186" s="6">
        <v>16</v>
      </c>
      <c r="B186" t="s">
        <v>28</v>
      </c>
      <c r="C186" t="s">
        <v>20</v>
      </c>
      <c r="D186" s="7">
        <v>0.59199999999999997</v>
      </c>
      <c r="E186" s="22">
        <v>6.9130138260276508E-3</v>
      </c>
    </row>
    <row r="187" spans="1:5" x14ac:dyDescent="0.2">
      <c r="A187" s="6">
        <v>16</v>
      </c>
      <c r="B187" t="s">
        <v>28</v>
      </c>
      <c r="C187" t="s">
        <v>20</v>
      </c>
      <c r="D187" s="7">
        <v>0.61699999999999999</v>
      </c>
      <c r="E187" s="22">
        <v>7.2850145700291387E-3</v>
      </c>
    </row>
    <row r="188" spans="1:5" x14ac:dyDescent="0.2">
      <c r="A188" s="6">
        <v>16</v>
      </c>
      <c r="B188" t="s">
        <v>28</v>
      </c>
      <c r="C188" t="s">
        <v>20</v>
      </c>
      <c r="D188" s="7">
        <v>0.56499999999999995</v>
      </c>
      <c r="E188" s="22">
        <v>6.4480128960257904E-3</v>
      </c>
    </row>
    <row r="189" spans="1:5" x14ac:dyDescent="0.2">
      <c r="A189" s="6">
        <v>16</v>
      </c>
      <c r="B189" t="s">
        <v>28</v>
      </c>
      <c r="C189" t="s">
        <v>20</v>
      </c>
      <c r="D189" s="7">
        <v>0.53100000000000003</v>
      </c>
      <c r="E189" s="22">
        <v>6.0140120280240553E-3</v>
      </c>
    </row>
    <row r="190" spans="1:5" x14ac:dyDescent="0.2">
      <c r="A190" s="6">
        <v>20</v>
      </c>
      <c r="B190" t="s">
        <v>28</v>
      </c>
      <c r="C190" t="s">
        <v>20</v>
      </c>
      <c r="D190" s="7">
        <v>0.58699999999999997</v>
      </c>
      <c r="E190" s="22">
        <v>6.7580135160270303E-3</v>
      </c>
    </row>
    <row r="191" spans="1:5" x14ac:dyDescent="0.2">
      <c r="A191" s="6">
        <v>20</v>
      </c>
      <c r="B191" t="s">
        <v>28</v>
      </c>
      <c r="C191" t="s">
        <v>20</v>
      </c>
      <c r="D191" s="7">
        <v>0.62</v>
      </c>
      <c r="E191" s="22">
        <v>7.3780147560295111E-3</v>
      </c>
    </row>
    <row r="192" spans="1:5" x14ac:dyDescent="0.2">
      <c r="A192" s="6">
        <v>20</v>
      </c>
      <c r="B192" t="s">
        <v>28</v>
      </c>
      <c r="C192" t="s">
        <v>20</v>
      </c>
      <c r="D192" s="7">
        <v>0.56999999999999995</v>
      </c>
      <c r="E192" s="22">
        <v>6.6030132060264108E-3</v>
      </c>
    </row>
    <row r="193" spans="1:5" x14ac:dyDescent="0.2">
      <c r="A193" s="6">
        <v>20</v>
      </c>
      <c r="B193" t="s">
        <v>28</v>
      </c>
      <c r="C193" t="s">
        <v>20</v>
      </c>
      <c r="D193" s="7">
        <v>0.53100000000000003</v>
      </c>
      <c r="E193" s="22">
        <v>6.0140120280240553E-3</v>
      </c>
    </row>
    <row r="194" spans="1:5" x14ac:dyDescent="0.2">
      <c r="A194" s="6">
        <v>0</v>
      </c>
      <c r="B194" t="s">
        <v>28</v>
      </c>
      <c r="C194" t="s">
        <v>21</v>
      </c>
      <c r="D194" s="7">
        <v>0.44600000000000001</v>
      </c>
      <c r="E194" s="22">
        <v>0</v>
      </c>
    </row>
    <row r="195" spans="1:5" x14ac:dyDescent="0.2">
      <c r="A195" s="6">
        <v>0</v>
      </c>
      <c r="B195" t="s">
        <v>28</v>
      </c>
      <c r="C195" t="s">
        <v>21</v>
      </c>
      <c r="D195" s="7">
        <v>0.47599999999999998</v>
      </c>
      <c r="E195" s="22">
        <v>0</v>
      </c>
    </row>
    <row r="196" spans="1:5" x14ac:dyDescent="0.2">
      <c r="A196" s="6">
        <v>0</v>
      </c>
      <c r="B196" t="s">
        <v>28</v>
      </c>
      <c r="C196" t="s">
        <v>21</v>
      </c>
      <c r="D196" s="7">
        <v>0.46300000000000002</v>
      </c>
      <c r="E196" s="22">
        <v>0</v>
      </c>
    </row>
    <row r="197" spans="1:5" x14ac:dyDescent="0.2">
      <c r="A197" s="6">
        <v>0</v>
      </c>
      <c r="B197" t="s">
        <v>28</v>
      </c>
      <c r="C197" t="s">
        <v>21</v>
      </c>
      <c r="D197" s="7">
        <v>0.46700000000000003</v>
      </c>
      <c r="E197" s="22">
        <v>0</v>
      </c>
    </row>
    <row r="198" spans="1:5" x14ac:dyDescent="0.2">
      <c r="A198" s="6">
        <v>4</v>
      </c>
      <c r="B198" t="s">
        <v>28</v>
      </c>
      <c r="C198" t="s">
        <v>21</v>
      </c>
      <c r="D198" s="7">
        <v>0.71499999999999997</v>
      </c>
      <c r="E198" s="22">
        <v>8.3390166780333546E-3</v>
      </c>
    </row>
    <row r="199" spans="1:5" x14ac:dyDescent="0.2">
      <c r="A199" s="6">
        <v>4</v>
      </c>
      <c r="B199" t="s">
        <v>28</v>
      </c>
      <c r="C199" t="s">
        <v>21</v>
      </c>
      <c r="D199" s="7">
        <v>0.752</v>
      </c>
      <c r="E199" s="22">
        <v>8.5560171120342247E-3</v>
      </c>
    </row>
    <row r="200" spans="1:5" x14ac:dyDescent="0.2">
      <c r="A200" s="6">
        <v>4</v>
      </c>
      <c r="B200" t="s">
        <v>28</v>
      </c>
      <c r="C200" t="s">
        <v>21</v>
      </c>
      <c r="D200" s="7">
        <v>0.71699999999999997</v>
      </c>
      <c r="E200" s="22">
        <v>7.8740157480314942E-3</v>
      </c>
    </row>
    <row r="201" spans="1:5" x14ac:dyDescent="0.2">
      <c r="A201" s="6">
        <v>4</v>
      </c>
      <c r="B201" t="s">
        <v>28</v>
      </c>
      <c r="C201" t="s">
        <v>21</v>
      </c>
      <c r="D201" s="7">
        <v>0.749</v>
      </c>
      <c r="E201" s="22">
        <v>8.7420174840349661E-3</v>
      </c>
    </row>
    <row r="202" spans="1:5" x14ac:dyDescent="0.2">
      <c r="A202" s="6">
        <v>8</v>
      </c>
      <c r="B202" t="s">
        <v>28</v>
      </c>
      <c r="C202" t="s">
        <v>21</v>
      </c>
      <c r="D202" s="7">
        <v>0.73199999999999998</v>
      </c>
      <c r="E202" s="22">
        <v>8.8660177320354621E-3</v>
      </c>
    </row>
    <row r="203" spans="1:5" x14ac:dyDescent="0.2">
      <c r="A203" s="6">
        <v>8</v>
      </c>
      <c r="B203" t="s">
        <v>28</v>
      </c>
      <c r="C203" t="s">
        <v>21</v>
      </c>
      <c r="D203" s="7">
        <v>0.78200000000000003</v>
      </c>
      <c r="E203" s="22">
        <v>9.4860189720379455E-3</v>
      </c>
    </row>
    <row r="204" spans="1:5" x14ac:dyDescent="0.2">
      <c r="A204" s="6">
        <v>8</v>
      </c>
      <c r="B204" t="s">
        <v>28</v>
      </c>
      <c r="C204" t="s">
        <v>21</v>
      </c>
      <c r="D204" s="7">
        <v>0.746</v>
      </c>
      <c r="E204" s="22">
        <v>8.7730175460350897E-3</v>
      </c>
    </row>
    <row r="205" spans="1:5" x14ac:dyDescent="0.2">
      <c r="A205" s="6">
        <v>8</v>
      </c>
      <c r="B205" t="s">
        <v>28</v>
      </c>
      <c r="C205" t="s">
        <v>21</v>
      </c>
      <c r="D205" s="7">
        <v>0.75800000000000001</v>
      </c>
      <c r="E205" s="22">
        <v>9.0210180420360834E-3</v>
      </c>
    </row>
    <row r="206" spans="1:5" x14ac:dyDescent="0.2">
      <c r="A206" s="6">
        <v>12</v>
      </c>
      <c r="B206" t="s">
        <v>28</v>
      </c>
      <c r="C206" t="s">
        <v>21</v>
      </c>
      <c r="D206" s="7">
        <v>0.73499999999999999</v>
      </c>
      <c r="E206" s="22">
        <v>8.9590179180358345E-3</v>
      </c>
    </row>
    <row r="207" spans="1:5" x14ac:dyDescent="0.2">
      <c r="A207" s="6">
        <v>12</v>
      </c>
      <c r="B207" t="s">
        <v>28</v>
      </c>
      <c r="C207" t="s">
        <v>21</v>
      </c>
      <c r="D207" s="7">
        <v>0.77</v>
      </c>
      <c r="E207" s="22">
        <v>9.1140182280364558E-3</v>
      </c>
    </row>
    <row r="208" spans="1:5" x14ac:dyDescent="0.2">
      <c r="A208" s="6">
        <v>12</v>
      </c>
      <c r="B208" t="s">
        <v>28</v>
      </c>
      <c r="C208" t="s">
        <v>21</v>
      </c>
      <c r="D208" s="7">
        <v>0.74</v>
      </c>
      <c r="E208" s="22">
        <v>8.5870171740343466E-3</v>
      </c>
    </row>
    <row r="209" spans="1:5" x14ac:dyDescent="0.2">
      <c r="A209" s="6">
        <v>12</v>
      </c>
      <c r="B209" t="s">
        <v>28</v>
      </c>
      <c r="C209" t="s">
        <v>21</v>
      </c>
      <c r="D209" s="7">
        <v>0.76300000000000001</v>
      </c>
      <c r="E209" s="22">
        <v>9.1760183520367029E-3</v>
      </c>
    </row>
    <row r="210" spans="1:5" x14ac:dyDescent="0.2">
      <c r="A210" s="6">
        <v>16</v>
      </c>
      <c r="B210" t="s">
        <v>28</v>
      </c>
      <c r="C210" t="s">
        <v>21</v>
      </c>
      <c r="D210" s="7">
        <v>0.74</v>
      </c>
      <c r="E210" s="22">
        <v>9.1140182280364541E-3</v>
      </c>
    </row>
    <row r="211" spans="1:5" x14ac:dyDescent="0.2">
      <c r="A211" s="6">
        <v>16</v>
      </c>
      <c r="B211" t="s">
        <v>28</v>
      </c>
      <c r="C211" t="s">
        <v>21</v>
      </c>
      <c r="D211" s="7">
        <v>0.77100000000000002</v>
      </c>
      <c r="E211" s="22">
        <v>9.1450182900365811E-3</v>
      </c>
    </row>
    <row r="212" spans="1:5" x14ac:dyDescent="0.2">
      <c r="A212" s="6">
        <v>16</v>
      </c>
      <c r="B212" t="s">
        <v>28</v>
      </c>
      <c r="C212" t="s">
        <v>21</v>
      </c>
      <c r="D212" s="7">
        <v>0.755</v>
      </c>
      <c r="E212" s="22">
        <v>9.0520181040362069E-3</v>
      </c>
    </row>
    <row r="213" spans="1:5" x14ac:dyDescent="0.2">
      <c r="A213" s="6">
        <v>16</v>
      </c>
      <c r="B213" t="s">
        <v>28</v>
      </c>
      <c r="C213" t="s">
        <v>21</v>
      </c>
      <c r="D213" s="7">
        <v>0.76500000000000001</v>
      </c>
      <c r="E213" s="22">
        <v>9.2380184760369501E-3</v>
      </c>
    </row>
    <row r="214" spans="1:5" x14ac:dyDescent="0.2">
      <c r="A214" s="6">
        <v>20</v>
      </c>
      <c r="B214" t="s">
        <v>28</v>
      </c>
      <c r="C214" t="s">
        <v>21</v>
      </c>
      <c r="D214" s="7">
        <v>0.74099999999999999</v>
      </c>
      <c r="E214" s="22">
        <v>9.1450182900365794E-3</v>
      </c>
    </row>
    <row r="215" spans="1:5" x14ac:dyDescent="0.2">
      <c r="A215" s="6">
        <v>20</v>
      </c>
      <c r="B215" t="s">
        <v>28</v>
      </c>
      <c r="C215" t="s">
        <v>21</v>
      </c>
      <c r="D215" s="7">
        <v>0.77500000000000002</v>
      </c>
      <c r="E215" s="22">
        <v>9.2690185380370771E-3</v>
      </c>
    </row>
    <row r="216" spans="1:5" x14ac:dyDescent="0.2">
      <c r="A216" s="6">
        <v>20</v>
      </c>
      <c r="B216" t="s">
        <v>28</v>
      </c>
      <c r="C216" t="s">
        <v>21</v>
      </c>
      <c r="D216" s="7">
        <v>0.74299999999999999</v>
      </c>
      <c r="E216" s="22">
        <v>8.680017360034719E-3</v>
      </c>
    </row>
    <row r="217" spans="1:5" x14ac:dyDescent="0.2">
      <c r="A217" s="6">
        <v>20</v>
      </c>
      <c r="B217" t="s">
        <v>28</v>
      </c>
      <c r="C217" t="s">
        <v>21</v>
      </c>
      <c r="D217" s="7">
        <v>0.76500000000000001</v>
      </c>
      <c r="E217" s="22">
        <v>9.2380184760369501E-3</v>
      </c>
    </row>
    <row r="218" spans="1:5" x14ac:dyDescent="0.2">
      <c r="A218" s="6">
        <v>0</v>
      </c>
      <c r="B218" t="s">
        <v>28</v>
      </c>
      <c r="C218" t="s">
        <v>22</v>
      </c>
      <c r="D218" s="8">
        <v>0.35299999999999998</v>
      </c>
      <c r="E218" s="22">
        <v>0</v>
      </c>
    </row>
    <row r="219" spans="1:5" x14ac:dyDescent="0.2">
      <c r="A219" s="6">
        <v>0</v>
      </c>
      <c r="B219" t="s">
        <v>28</v>
      </c>
      <c r="C219" t="s">
        <v>22</v>
      </c>
      <c r="D219" s="8">
        <v>0.32800000000000001</v>
      </c>
      <c r="E219" s="22">
        <v>0</v>
      </c>
    </row>
    <row r="220" spans="1:5" x14ac:dyDescent="0.2">
      <c r="A220" s="6">
        <v>0</v>
      </c>
      <c r="B220" t="s">
        <v>28</v>
      </c>
      <c r="C220" t="s">
        <v>22</v>
      </c>
      <c r="D220" s="8">
        <v>0.316</v>
      </c>
      <c r="E220" s="22">
        <v>0</v>
      </c>
    </row>
    <row r="221" spans="1:5" x14ac:dyDescent="0.2">
      <c r="A221" s="6">
        <v>0</v>
      </c>
      <c r="B221" t="s">
        <v>28</v>
      </c>
      <c r="C221" t="s">
        <v>22</v>
      </c>
      <c r="D221" s="8">
        <v>0.32600000000000001</v>
      </c>
      <c r="E221" s="22">
        <v>0</v>
      </c>
    </row>
    <row r="222" spans="1:5" x14ac:dyDescent="0.2">
      <c r="A222" s="6">
        <v>4</v>
      </c>
      <c r="B222" t="s">
        <v>28</v>
      </c>
      <c r="C222" t="s">
        <v>22</v>
      </c>
      <c r="D222" s="8">
        <v>0.55500000000000005</v>
      </c>
      <c r="E222" s="22">
        <v>6.2620125240250499E-3</v>
      </c>
    </row>
    <row r="223" spans="1:5" x14ac:dyDescent="0.2">
      <c r="A223" s="6">
        <v>4</v>
      </c>
      <c r="B223" t="s">
        <v>28</v>
      </c>
      <c r="C223" t="s">
        <v>22</v>
      </c>
      <c r="D223" s="8">
        <v>0.504</v>
      </c>
      <c r="E223" s="22">
        <v>5.4560109120218234E-3</v>
      </c>
    </row>
    <row r="224" spans="1:5" x14ac:dyDescent="0.2">
      <c r="A224" s="6">
        <v>4</v>
      </c>
      <c r="B224" t="s">
        <v>28</v>
      </c>
      <c r="C224" t="s">
        <v>22</v>
      </c>
      <c r="D224" s="8">
        <v>0.51100000000000001</v>
      </c>
      <c r="E224" s="22">
        <v>6.0450120900241797E-3</v>
      </c>
    </row>
    <row r="225" spans="1:5" x14ac:dyDescent="0.2">
      <c r="A225" s="6">
        <v>4</v>
      </c>
      <c r="B225" t="s">
        <v>28</v>
      </c>
      <c r="C225" t="s">
        <v>22</v>
      </c>
      <c r="D225" s="8">
        <v>0.52600000000000002</v>
      </c>
      <c r="E225" s="22">
        <v>6.2000124000248001E-3</v>
      </c>
    </row>
    <row r="226" spans="1:5" x14ac:dyDescent="0.2">
      <c r="A226" s="6">
        <v>8</v>
      </c>
      <c r="B226" t="s">
        <v>28</v>
      </c>
      <c r="C226" t="s">
        <v>22</v>
      </c>
      <c r="D226" s="8">
        <v>0.56100000000000005</v>
      </c>
      <c r="E226" s="22">
        <v>6.4480128960257939E-3</v>
      </c>
    </row>
    <row r="227" spans="1:5" x14ac:dyDescent="0.2">
      <c r="A227" s="6">
        <v>8</v>
      </c>
      <c r="B227" t="s">
        <v>28</v>
      </c>
      <c r="C227" t="s">
        <v>22</v>
      </c>
      <c r="D227" s="8">
        <v>0.503</v>
      </c>
      <c r="E227" s="22">
        <v>5.4250108500216989E-3</v>
      </c>
    </row>
    <row r="228" spans="1:5" x14ac:dyDescent="0.2">
      <c r="A228" s="6">
        <v>8</v>
      </c>
      <c r="B228" t="s">
        <v>28</v>
      </c>
      <c r="C228" t="s">
        <v>22</v>
      </c>
      <c r="D228" s="8">
        <v>0.51100000000000001</v>
      </c>
      <c r="E228" s="22">
        <v>6.0450120900241797E-3</v>
      </c>
    </row>
    <row r="229" spans="1:5" x14ac:dyDescent="0.2">
      <c r="A229" s="6">
        <v>8</v>
      </c>
      <c r="B229" t="s">
        <v>28</v>
      </c>
      <c r="C229" t="s">
        <v>22</v>
      </c>
      <c r="D229" s="8">
        <v>0.53200000000000003</v>
      </c>
      <c r="E229" s="22">
        <v>6.3860127720255441E-3</v>
      </c>
    </row>
    <row r="230" spans="1:5" x14ac:dyDescent="0.2">
      <c r="A230" s="6">
        <v>12</v>
      </c>
      <c r="B230" t="s">
        <v>28</v>
      </c>
      <c r="C230" t="s">
        <v>22</v>
      </c>
      <c r="D230" s="8">
        <v>0.56399999999999995</v>
      </c>
      <c r="E230" s="22">
        <v>6.5410130820261628E-3</v>
      </c>
    </row>
    <row r="231" spans="1:5" x14ac:dyDescent="0.2">
      <c r="A231" s="6">
        <v>12</v>
      </c>
      <c r="B231" t="s">
        <v>28</v>
      </c>
      <c r="C231" t="s">
        <v>22</v>
      </c>
      <c r="D231" s="8">
        <v>0.51200000000000001</v>
      </c>
      <c r="E231" s="22">
        <v>5.7040114080228153E-3</v>
      </c>
    </row>
    <row r="232" spans="1:5" x14ac:dyDescent="0.2">
      <c r="A232" s="6">
        <v>12</v>
      </c>
      <c r="B232" t="s">
        <v>28</v>
      </c>
      <c r="C232" t="s">
        <v>22</v>
      </c>
      <c r="D232" s="8">
        <v>0.504</v>
      </c>
      <c r="E232" s="22">
        <v>5.8280116560233113E-3</v>
      </c>
    </row>
    <row r="233" spans="1:5" x14ac:dyDescent="0.2">
      <c r="A233" s="6">
        <v>12</v>
      </c>
      <c r="B233" t="s">
        <v>28</v>
      </c>
      <c r="C233" t="s">
        <v>22</v>
      </c>
      <c r="D233" s="8">
        <v>0.52900000000000003</v>
      </c>
      <c r="E233" s="22">
        <v>6.2930125860251717E-3</v>
      </c>
    </row>
    <row r="234" spans="1:5" x14ac:dyDescent="0.2">
      <c r="A234" s="6">
        <v>16</v>
      </c>
      <c r="B234" t="s">
        <v>28</v>
      </c>
      <c r="C234" t="s">
        <v>22</v>
      </c>
      <c r="D234" s="8">
        <v>0.55900000000000005</v>
      </c>
      <c r="E234" s="22">
        <v>6.3860127720255459E-3</v>
      </c>
    </row>
    <row r="235" spans="1:5" x14ac:dyDescent="0.2">
      <c r="A235" s="6">
        <v>16</v>
      </c>
      <c r="B235" t="s">
        <v>28</v>
      </c>
      <c r="C235" t="s">
        <v>22</v>
      </c>
      <c r="D235" s="8">
        <v>0.51200000000000001</v>
      </c>
      <c r="E235" s="22">
        <v>5.7040114080228153E-3</v>
      </c>
    </row>
    <row r="236" spans="1:5" x14ac:dyDescent="0.2">
      <c r="A236" s="6">
        <v>16</v>
      </c>
      <c r="B236" t="s">
        <v>28</v>
      </c>
      <c r="C236" t="s">
        <v>22</v>
      </c>
      <c r="D236" s="8">
        <v>0.50700000000000001</v>
      </c>
      <c r="E236" s="22">
        <v>5.9210118420236837E-3</v>
      </c>
    </row>
    <row r="237" spans="1:5" x14ac:dyDescent="0.2">
      <c r="A237" s="6">
        <v>16</v>
      </c>
      <c r="B237" t="s">
        <v>28</v>
      </c>
      <c r="C237" t="s">
        <v>22</v>
      </c>
      <c r="D237" s="8">
        <v>0.53300000000000003</v>
      </c>
      <c r="E237" s="22">
        <v>6.4170128340256677E-3</v>
      </c>
    </row>
    <row r="238" spans="1:5" x14ac:dyDescent="0.2">
      <c r="A238" s="6">
        <v>20</v>
      </c>
      <c r="B238" t="s">
        <v>28</v>
      </c>
      <c r="C238" t="s">
        <v>22</v>
      </c>
      <c r="D238" s="8">
        <v>0.56100000000000005</v>
      </c>
      <c r="E238" s="22">
        <v>6.4480128960257939E-3</v>
      </c>
    </row>
    <row r="239" spans="1:5" x14ac:dyDescent="0.2">
      <c r="A239" s="6">
        <v>20</v>
      </c>
      <c r="B239" t="s">
        <v>28</v>
      </c>
      <c r="C239" t="s">
        <v>22</v>
      </c>
      <c r="D239" s="8">
        <v>0.505</v>
      </c>
      <c r="E239" s="22">
        <v>5.4870109740219469E-3</v>
      </c>
    </row>
    <row r="240" spans="1:5" x14ac:dyDescent="0.2">
      <c r="A240" s="6">
        <v>20</v>
      </c>
      <c r="B240" t="s">
        <v>28</v>
      </c>
      <c r="C240" t="s">
        <v>22</v>
      </c>
      <c r="D240" s="8">
        <v>0.503</v>
      </c>
      <c r="E240" s="22">
        <v>5.7970115940231878E-3</v>
      </c>
    </row>
    <row r="241" spans="1:5" x14ac:dyDescent="0.2">
      <c r="A241" s="6">
        <v>20</v>
      </c>
      <c r="B241" t="s">
        <v>28</v>
      </c>
      <c r="C241" t="s">
        <v>22</v>
      </c>
      <c r="D241" s="8">
        <v>0.53200000000000003</v>
      </c>
      <c r="E241" s="22">
        <v>6.3860127720255441E-3</v>
      </c>
    </row>
    <row r="242" spans="1:5" x14ac:dyDescent="0.2">
      <c r="A242" s="6">
        <v>0</v>
      </c>
      <c r="B242" t="s">
        <v>28</v>
      </c>
      <c r="C242" t="s">
        <v>23</v>
      </c>
      <c r="D242" s="8">
        <v>0.34799999999999998</v>
      </c>
      <c r="E242" s="22">
        <v>0</v>
      </c>
    </row>
    <row r="243" spans="1:5" x14ac:dyDescent="0.2">
      <c r="A243" s="6">
        <v>0</v>
      </c>
      <c r="B243" t="s">
        <v>28</v>
      </c>
      <c r="C243" t="s">
        <v>23</v>
      </c>
      <c r="D243" s="8">
        <v>0.35099999999999998</v>
      </c>
      <c r="E243" s="22">
        <v>0</v>
      </c>
    </row>
    <row r="244" spans="1:5" x14ac:dyDescent="0.2">
      <c r="A244" s="6">
        <v>0</v>
      </c>
      <c r="B244" t="s">
        <v>28</v>
      </c>
      <c r="C244" t="s">
        <v>23</v>
      </c>
      <c r="D244" s="8">
        <v>0.36799999999999999</v>
      </c>
      <c r="E244" s="22">
        <v>0</v>
      </c>
    </row>
    <row r="245" spans="1:5" x14ac:dyDescent="0.2">
      <c r="A245" s="6">
        <v>0</v>
      </c>
      <c r="B245" t="s">
        <v>28</v>
      </c>
      <c r="C245" t="s">
        <v>23</v>
      </c>
      <c r="D245" s="8">
        <v>0.34899999999999998</v>
      </c>
      <c r="E245" s="22">
        <v>0</v>
      </c>
    </row>
    <row r="246" spans="1:5" x14ac:dyDescent="0.2">
      <c r="A246" s="6">
        <v>4</v>
      </c>
      <c r="B246" t="s">
        <v>28</v>
      </c>
      <c r="C246" t="s">
        <v>23</v>
      </c>
      <c r="D246" s="8">
        <v>0.58299999999999996</v>
      </c>
      <c r="E246" s="22">
        <v>7.2850145700291387E-3</v>
      </c>
    </row>
    <row r="247" spans="1:5" x14ac:dyDescent="0.2">
      <c r="A247" s="6">
        <v>4</v>
      </c>
      <c r="B247" t="s">
        <v>28</v>
      </c>
      <c r="C247" t="s">
        <v>23</v>
      </c>
      <c r="D247" s="8">
        <v>0.57199999999999995</v>
      </c>
      <c r="E247" s="22">
        <v>6.8510137020274028E-3</v>
      </c>
    </row>
    <row r="248" spans="1:5" x14ac:dyDescent="0.2">
      <c r="A248" s="6">
        <v>4</v>
      </c>
      <c r="B248" t="s">
        <v>28</v>
      </c>
      <c r="C248" t="s">
        <v>23</v>
      </c>
      <c r="D248" s="8">
        <v>0.57799999999999996</v>
      </c>
      <c r="E248" s="22">
        <v>6.5100130200260384E-3</v>
      </c>
    </row>
    <row r="249" spans="1:5" x14ac:dyDescent="0.2">
      <c r="A249" s="6">
        <v>4</v>
      </c>
      <c r="B249" t="s">
        <v>28</v>
      </c>
      <c r="C249" t="s">
        <v>23</v>
      </c>
      <c r="D249" s="8">
        <v>0.56200000000000006</v>
      </c>
      <c r="E249" s="22">
        <v>6.6030132060264143E-3</v>
      </c>
    </row>
    <row r="250" spans="1:5" x14ac:dyDescent="0.2">
      <c r="A250" s="6">
        <v>8</v>
      </c>
      <c r="B250" t="s">
        <v>28</v>
      </c>
      <c r="C250" t="s">
        <v>23</v>
      </c>
      <c r="D250" s="8">
        <v>0.58099999999999996</v>
      </c>
      <c r="E250" s="22">
        <v>7.2230144460288907E-3</v>
      </c>
    </row>
    <row r="251" spans="1:5" x14ac:dyDescent="0.2">
      <c r="A251" s="6">
        <v>8</v>
      </c>
      <c r="B251" t="s">
        <v>28</v>
      </c>
      <c r="C251" t="s">
        <v>23</v>
      </c>
      <c r="D251" s="8">
        <v>0.57399999999999995</v>
      </c>
      <c r="E251" s="22">
        <v>6.9130138260276508E-3</v>
      </c>
    </row>
    <row r="252" spans="1:5" x14ac:dyDescent="0.2">
      <c r="A252" s="6">
        <v>8</v>
      </c>
      <c r="B252" t="s">
        <v>28</v>
      </c>
      <c r="C252" t="s">
        <v>23</v>
      </c>
      <c r="D252" s="8">
        <v>0.58499999999999996</v>
      </c>
      <c r="E252" s="22">
        <v>6.7270134540269068E-3</v>
      </c>
    </row>
    <row r="253" spans="1:5" x14ac:dyDescent="0.2">
      <c r="A253" s="6">
        <v>8</v>
      </c>
      <c r="B253" t="s">
        <v>28</v>
      </c>
      <c r="C253" t="s">
        <v>23</v>
      </c>
      <c r="D253" s="8">
        <v>0.56100000000000005</v>
      </c>
      <c r="E253" s="22">
        <v>6.5720131440262898E-3</v>
      </c>
    </row>
    <row r="254" spans="1:5" x14ac:dyDescent="0.2">
      <c r="A254" s="6">
        <v>12</v>
      </c>
      <c r="B254" t="s">
        <v>28</v>
      </c>
      <c r="C254" t="s">
        <v>23</v>
      </c>
      <c r="D254" s="8">
        <v>0.57399999999999995</v>
      </c>
      <c r="E254" s="22">
        <v>7.0060140120280232E-3</v>
      </c>
    </row>
    <row r="255" spans="1:5" x14ac:dyDescent="0.2">
      <c r="A255" s="6">
        <v>12</v>
      </c>
      <c r="B255" t="s">
        <v>28</v>
      </c>
      <c r="C255" t="s">
        <v>23</v>
      </c>
      <c r="D255" s="8">
        <v>0.57299999999999995</v>
      </c>
      <c r="E255" s="22">
        <v>6.8820137640275263E-3</v>
      </c>
    </row>
    <row r="256" spans="1:5" x14ac:dyDescent="0.2">
      <c r="A256" s="6">
        <v>12</v>
      </c>
      <c r="B256" t="s">
        <v>28</v>
      </c>
      <c r="C256" t="s">
        <v>23</v>
      </c>
      <c r="D256" s="8">
        <v>0.58699999999999997</v>
      </c>
      <c r="E256" s="22">
        <v>6.7890135780271548E-3</v>
      </c>
    </row>
    <row r="257" spans="1:5" x14ac:dyDescent="0.2">
      <c r="A257" s="6">
        <v>12</v>
      </c>
      <c r="B257" t="s">
        <v>28</v>
      </c>
      <c r="C257" t="s">
        <v>23</v>
      </c>
      <c r="D257" s="8">
        <v>0.57399999999999995</v>
      </c>
      <c r="E257" s="22">
        <v>6.9750139500278988E-3</v>
      </c>
    </row>
    <row r="258" spans="1:5" x14ac:dyDescent="0.2">
      <c r="A258" s="6">
        <v>16</v>
      </c>
      <c r="B258" t="s">
        <v>28</v>
      </c>
      <c r="C258" t="s">
        <v>23</v>
      </c>
      <c r="D258" s="8">
        <v>0.58099999999999996</v>
      </c>
      <c r="E258" s="22">
        <v>7.2230144460288907E-3</v>
      </c>
    </row>
    <row r="259" spans="1:5" x14ac:dyDescent="0.2">
      <c r="A259" s="6">
        <v>16</v>
      </c>
      <c r="B259" t="s">
        <v>28</v>
      </c>
      <c r="C259" t="s">
        <v>23</v>
      </c>
      <c r="D259" s="8">
        <v>0.58099999999999996</v>
      </c>
      <c r="E259" s="22">
        <v>7.1300142600285192E-3</v>
      </c>
    </row>
    <row r="260" spans="1:5" x14ac:dyDescent="0.2">
      <c r="A260" s="6">
        <v>16</v>
      </c>
      <c r="B260" t="s">
        <v>28</v>
      </c>
      <c r="C260" t="s">
        <v>23</v>
      </c>
      <c r="D260" s="8">
        <v>0.58399999999999996</v>
      </c>
      <c r="E260" s="22">
        <v>6.6960133920267824E-3</v>
      </c>
    </row>
    <row r="261" spans="1:5" x14ac:dyDescent="0.2">
      <c r="A261" s="6">
        <v>16</v>
      </c>
      <c r="B261" t="s">
        <v>28</v>
      </c>
      <c r="C261" t="s">
        <v>23</v>
      </c>
      <c r="D261" s="8">
        <v>0.56399999999999995</v>
      </c>
      <c r="E261" s="22">
        <v>6.6650133300266588E-3</v>
      </c>
    </row>
    <row r="262" spans="1:5" x14ac:dyDescent="0.2">
      <c r="A262" s="6">
        <v>20</v>
      </c>
      <c r="B262" t="s">
        <v>28</v>
      </c>
      <c r="C262" t="s">
        <v>23</v>
      </c>
      <c r="D262" s="8">
        <v>0.6</v>
      </c>
      <c r="E262" s="22">
        <v>7.8120156240312471E-3</v>
      </c>
    </row>
    <row r="263" spans="1:5" x14ac:dyDescent="0.2">
      <c r="A263" s="6">
        <v>20</v>
      </c>
      <c r="B263" t="s">
        <v>28</v>
      </c>
      <c r="C263" t="s">
        <v>23</v>
      </c>
      <c r="D263" s="8">
        <v>0.58799999999999997</v>
      </c>
      <c r="E263" s="22">
        <v>7.3470146940293867E-3</v>
      </c>
    </row>
    <row r="264" spans="1:5" x14ac:dyDescent="0.2">
      <c r="A264" s="6">
        <v>20</v>
      </c>
      <c r="B264" t="s">
        <v>28</v>
      </c>
      <c r="C264" t="s">
        <v>23</v>
      </c>
      <c r="D264" s="8">
        <v>0.59899999999999998</v>
      </c>
      <c r="E264" s="22">
        <v>7.1610143220286427E-3</v>
      </c>
    </row>
    <row r="265" spans="1:5" x14ac:dyDescent="0.2">
      <c r="A265" s="6">
        <v>20</v>
      </c>
      <c r="B265" t="s">
        <v>28</v>
      </c>
      <c r="C265" t="s">
        <v>23</v>
      </c>
      <c r="D265" s="8">
        <v>0.56299999999999994</v>
      </c>
      <c r="E265" s="22">
        <v>6.6340132680265344E-3</v>
      </c>
    </row>
    <row r="266" spans="1:5" x14ac:dyDescent="0.2">
      <c r="A266" s="6">
        <v>0</v>
      </c>
      <c r="B266" t="s">
        <v>28</v>
      </c>
      <c r="C266" t="s">
        <v>24</v>
      </c>
      <c r="D266" s="8">
        <v>0.35199999999999998</v>
      </c>
      <c r="E266" s="22">
        <v>0</v>
      </c>
    </row>
    <row r="267" spans="1:5" x14ac:dyDescent="0.2">
      <c r="A267" s="6">
        <v>0</v>
      </c>
      <c r="B267" t="s">
        <v>28</v>
      </c>
      <c r="C267" t="s">
        <v>24</v>
      </c>
      <c r="D267" s="8">
        <v>0.35599999999999998</v>
      </c>
      <c r="E267" s="22">
        <v>0</v>
      </c>
    </row>
    <row r="268" spans="1:5" x14ac:dyDescent="0.2">
      <c r="A268" s="6">
        <v>0</v>
      </c>
      <c r="B268" t="s">
        <v>28</v>
      </c>
      <c r="C268" t="s">
        <v>24</v>
      </c>
      <c r="D268" s="8">
        <v>0.38200000000000001</v>
      </c>
      <c r="E268" s="22">
        <v>0</v>
      </c>
    </row>
    <row r="269" spans="1:5" x14ac:dyDescent="0.2">
      <c r="A269" s="6">
        <v>0</v>
      </c>
      <c r="B269" t="s">
        <v>28</v>
      </c>
      <c r="C269" t="s">
        <v>24</v>
      </c>
      <c r="D269" s="8">
        <v>0.36199999999999999</v>
      </c>
      <c r="E269" s="22">
        <v>0</v>
      </c>
    </row>
    <row r="270" spans="1:5" x14ac:dyDescent="0.2">
      <c r="A270" s="6">
        <v>4</v>
      </c>
      <c r="B270" t="s">
        <v>28</v>
      </c>
      <c r="C270" t="s">
        <v>24</v>
      </c>
      <c r="D270" s="8">
        <v>0.56100000000000005</v>
      </c>
      <c r="E270" s="22">
        <v>6.4790129580259174E-3</v>
      </c>
    </row>
    <row r="271" spans="1:5" x14ac:dyDescent="0.2">
      <c r="A271" s="6">
        <v>4</v>
      </c>
      <c r="B271" t="s">
        <v>28</v>
      </c>
      <c r="C271" t="s">
        <v>24</v>
      </c>
      <c r="D271" s="8">
        <v>0.57599999999999996</v>
      </c>
      <c r="E271" s="22">
        <v>6.8200136400272783E-3</v>
      </c>
    </row>
    <row r="272" spans="1:5" x14ac:dyDescent="0.2">
      <c r="A272" s="6">
        <v>4</v>
      </c>
      <c r="B272" t="s">
        <v>28</v>
      </c>
      <c r="C272" t="s">
        <v>24</v>
      </c>
      <c r="D272" s="8">
        <v>0.61199999999999999</v>
      </c>
      <c r="E272" s="22">
        <v>7.1300142600285192E-3</v>
      </c>
    </row>
    <row r="273" spans="1:5" x14ac:dyDescent="0.2">
      <c r="A273" s="6">
        <v>4</v>
      </c>
      <c r="B273" t="s">
        <v>28</v>
      </c>
      <c r="C273" t="s">
        <v>24</v>
      </c>
      <c r="D273" s="8">
        <v>0.59499999999999997</v>
      </c>
      <c r="E273" s="22">
        <v>7.2230144460288907E-3</v>
      </c>
    </row>
    <row r="274" spans="1:5" x14ac:dyDescent="0.2">
      <c r="A274" s="6">
        <v>8</v>
      </c>
      <c r="B274" t="s">
        <v>28</v>
      </c>
      <c r="C274" t="s">
        <v>24</v>
      </c>
      <c r="D274" s="8">
        <v>0.56200000000000006</v>
      </c>
      <c r="E274" s="22">
        <v>6.5100130200260418E-3</v>
      </c>
    </row>
    <row r="275" spans="1:5" x14ac:dyDescent="0.2">
      <c r="A275" s="6">
        <v>8</v>
      </c>
      <c r="B275" t="s">
        <v>28</v>
      </c>
      <c r="C275" t="s">
        <v>24</v>
      </c>
      <c r="D275" s="8">
        <v>0.58299999999999996</v>
      </c>
      <c r="E275" s="22">
        <v>7.0370140740281467E-3</v>
      </c>
    </row>
    <row r="276" spans="1:5" x14ac:dyDescent="0.2">
      <c r="A276" s="6">
        <v>8</v>
      </c>
      <c r="B276" t="s">
        <v>28</v>
      </c>
      <c r="C276" t="s">
        <v>24</v>
      </c>
      <c r="D276" s="8">
        <v>0.62</v>
      </c>
      <c r="E276" s="22">
        <v>7.3780147560295111E-3</v>
      </c>
    </row>
    <row r="277" spans="1:5" x14ac:dyDescent="0.2">
      <c r="A277" s="6">
        <v>8</v>
      </c>
      <c r="B277" t="s">
        <v>28</v>
      </c>
      <c r="C277" t="s">
        <v>24</v>
      </c>
      <c r="D277" s="8">
        <v>0.59699999999999998</v>
      </c>
      <c r="E277" s="22">
        <v>7.2850145700291387E-3</v>
      </c>
    </row>
    <row r="278" spans="1:5" x14ac:dyDescent="0.2">
      <c r="A278" s="6">
        <v>12</v>
      </c>
      <c r="B278" t="s">
        <v>28</v>
      </c>
      <c r="C278" t="s">
        <v>24</v>
      </c>
      <c r="D278" s="8">
        <v>0.56299999999999994</v>
      </c>
      <c r="E278" s="22">
        <v>6.5410130820261628E-3</v>
      </c>
    </row>
    <row r="279" spans="1:5" x14ac:dyDescent="0.2">
      <c r="A279" s="6">
        <v>12</v>
      </c>
      <c r="B279" t="s">
        <v>28</v>
      </c>
      <c r="C279" t="s">
        <v>24</v>
      </c>
      <c r="D279" s="8">
        <v>0.59599999999999997</v>
      </c>
      <c r="E279" s="22">
        <v>7.4400148800297591E-3</v>
      </c>
    </row>
    <row r="280" spans="1:5" x14ac:dyDescent="0.2">
      <c r="A280" s="6">
        <v>12</v>
      </c>
      <c r="B280" t="s">
        <v>28</v>
      </c>
      <c r="C280" t="s">
        <v>24</v>
      </c>
      <c r="D280" s="8">
        <v>0.61699999999999999</v>
      </c>
      <c r="E280" s="22">
        <v>7.2850145700291387E-3</v>
      </c>
    </row>
    <row r="281" spans="1:5" x14ac:dyDescent="0.2">
      <c r="A281" s="6">
        <v>12</v>
      </c>
      <c r="B281" t="s">
        <v>28</v>
      </c>
      <c r="C281" t="s">
        <v>24</v>
      </c>
      <c r="D281" s="8">
        <v>0.60299999999999998</v>
      </c>
      <c r="E281" s="22">
        <v>7.4710149420298836E-3</v>
      </c>
    </row>
    <row r="282" spans="1:5" x14ac:dyDescent="0.2">
      <c r="A282" s="6">
        <v>16</v>
      </c>
      <c r="B282" t="s">
        <v>28</v>
      </c>
      <c r="C282" t="s">
        <v>24</v>
      </c>
      <c r="D282" s="8">
        <v>0.56299999999999994</v>
      </c>
      <c r="E282" s="22">
        <v>6.5410130820261628E-3</v>
      </c>
    </row>
    <row r="283" spans="1:5" x14ac:dyDescent="0.2">
      <c r="A283" s="6">
        <v>16</v>
      </c>
      <c r="B283" t="s">
        <v>28</v>
      </c>
      <c r="C283" t="s">
        <v>24</v>
      </c>
      <c r="D283" s="8">
        <v>0.58499999999999996</v>
      </c>
      <c r="E283" s="22">
        <v>7.0990141980283947E-3</v>
      </c>
    </row>
    <row r="284" spans="1:5" x14ac:dyDescent="0.2">
      <c r="A284" s="6">
        <v>16</v>
      </c>
      <c r="B284" t="s">
        <v>28</v>
      </c>
      <c r="C284" t="s">
        <v>24</v>
      </c>
      <c r="D284" s="8">
        <v>0.625</v>
      </c>
      <c r="E284" s="22">
        <v>7.5330150660301316E-3</v>
      </c>
    </row>
    <row r="285" spans="1:5" x14ac:dyDescent="0.2">
      <c r="A285" s="6">
        <v>16</v>
      </c>
      <c r="B285" t="s">
        <v>28</v>
      </c>
      <c r="C285" t="s">
        <v>24</v>
      </c>
      <c r="D285" s="8">
        <v>0.6</v>
      </c>
      <c r="E285" s="22">
        <v>7.3780147560295111E-3</v>
      </c>
    </row>
    <row r="286" spans="1:5" x14ac:dyDescent="0.2">
      <c r="A286" s="6">
        <v>20</v>
      </c>
      <c r="B286" t="s">
        <v>28</v>
      </c>
      <c r="C286" t="s">
        <v>24</v>
      </c>
      <c r="D286" s="8">
        <v>0.56200000000000006</v>
      </c>
      <c r="E286" s="22">
        <v>6.5100130200260418E-3</v>
      </c>
    </row>
    <row r="287" spans="1:5" x14ac:dyDescent="0.2">
      <c r="A287" s="6">
        <v>20</v>
      </c>
      <c r="B287" t="s">
        <v>28</v>
      </c>
      <c r="C287" t="s">
        <v>24</v>
      </c>
      <c r="D287" s="8">
        <v>0.59</v>
      </c>
      <c r="E287" s="22">
        <v>7.2540145080290152E-3</v>
      </c>
    </row>
    <row r="288" spans="1:5" x14ac:dyDescent="0.2">
      <c r="A288" s="6">
        <v>20</v>
      </c>
      <c r="B288" t="s">
        <v>28</v>
      </c>
      <c r="C288" t="s">
        <v>24</v>
      </c>
      <c r="D288" s="8">
        <v>0.622</v>
      </c>
      <c r="E288" s="22">
        <v>7.4400148800297591E-3</v>
      </c>
    </row>
    <row r="289" spans="1:5" x14ac:dyDescent="0.2">
      <c r="A289" s="6">
        <v>20</v>
      </c>
      <c r="B289" t="s">
        <v>28</v>
      </c>
      <c r="C289" t="s">
        <v>24</v>
      </c>
      <c r="D289" s="8">
        <v>0.59799999999999998</v>
      </c>
      <c r="E289" s="22">
        <v>7.3160146320292632E-3</v>
      </c>
    </row>
    <row r="290" spans="1:5" x14ac:dyDescent="0.2">
      <c r="A290" s="6">
        <v>0</v>
      </c>
      <c r="B290" t="s">
        <v>28</v>
      </c>
      <c r="C290" t="s">
        <v>25</v>
      </c>
      <c r="D290" s="8">
        <v>0.41599999999999998</v>
      </c>
      <c r="E290" s="22">
        <v>0</v>
      </c>
    </row>
    <row r="291" spans="1:5" x14ac:dyDescent="0.2">
      <c r="A291" s="6">
        <v>0</v>
      </c>
      <c r="B291" t="s">
        <v>28</v>
      </c>
      <c r="C291" t="s">
        <v>25</v>
      </c>
      <c r="D291" s="8">
        <v>0.40200000000000002</v>
      </c>
      <c r="E291" s="22">
        <v>0</v>
      </c>
    </row>
    <row r="292" spans="1:5" x14ac:dyDescent="0.2">
      <c r="A292" s="6">
        <v>0</v>
      </c>
      <c r="B292" t="s">
        <v>28</v>
      </c>
      <c r="C292" t="s">
        <v>25</v>
      </c>
      <c r="D292" s="8">
        <v>0.41599999999999998</v>
      </c>
      <c r="E292" s="22">
        <v>0</v>
      </c>
    </row>
    <row r="293" spans="1:5" x14ac:dyDescent="0.2">
      <c r="A293" s="6">
        <v>0</v>
      </c>
      <c r="B293" t="s">
        <v>28</v>
      </c>
      <c r="C293" t="s">
        <v>25</v>
      </c>
      <c r="D293" s="8">
        <v>0.41599999999999998</v>
      </c>
      <c r="E293" s="22">
        <v>0</v>
      </c>
    </row>
    <row r="294" spans="1:5" x14ac:dyDescent="0.2">
      <c r="A294" s="6">
        <v>4</v>
      </c>
      <c r="B294" t="s">
        <v>28</v>
      </c>
      <c r="C294" t="s">
        <v>25</v>
      </c>
      <c r="D294" s="8">
        <v>0.66500000000000004</v>
      </c>
      <c r="E294" s="22">
        <v>7.7190154380308773E-3</v>
      </c>
    </row>
    <row r="295" spans="1:5" x14ac:dyDescent="0.2">
      <c r="A295" s="6">
        <v>4</v>
      </c>
      <c r="B295" t="s">
        <v>28</v>
      </c>
      <c r="C295" t="s">
        <v>25</v>
      </c>
      <c r="D295" s="8">
        <v>0.61699999999999999</v>
      </c>
      <c r="E295" s="22">
        <v>6.6650133300266588E-3</v>
      </c>
    </row>
    <row r="296" spans="1:5" x14ac:dyDescent="0.2">
      <c r="A296" s="6">
        <v>4</v>
      </c>
      <c r="B296" t="s">
        <v>28</v>
      </c>
      <c r="C296" t="s">
        <v>25</v>
      </c>
      <c r="D296" s="8">
        <v>0.61299999999999999</v>
      </c>
      <c r="E296" s="22">
        <v>6.1070122140244277E-3</v>
      </c>
    </row>
    <row r="297" spans="1:5" x14ac:dyDescent="0.2">
      <c r="A297" s="6">
        <v>4</v>
      </c>
      <c r="B297" t="s">
        <v>28</v>
      </c>
      <c r="C297" t="s">
        <v>25</v>
      </c>
      <c r="D297" s="8">
        <v>0.61599999999999999</v>
      </c>
      <c r="E297" s="22">
        <v>6.2000124000248001E-3</v>
      </c>
    </row>
    <row r="298" spans="1:5" x14ac:dyDescent="0.2">
      <c r="A298" s="6">
        <v>8</v>
      </c>
      <c r="B298" t="s">
        <v>28</v>
      </c>
      <c r="C298" t="s">
        <v>25</v>
      </c>
      <c r="D298" s="8">
        <v>0.68100000000000005</v>
      </c>
      <c r="E298" s="22">
        <v>8.2150164300328621E-3</v>
      </c>
    </row>
    <row r="299" spans="1:5" x14ac:dyDescent="0.2">
      <c r="A299" s="6">
        <v>8</v>
      </c>
      <c r="B299" t="s">
        <v>28</v>
      </c>
      <c r="C299" t="s">
        <v>25</v>
      </c>
      <c r="D299" s="8">
        <v>0.64400000000000002</v>
      </c>
      <c r="E299" s="22">
        <v>7.5020150040300071E-3</v>
      </c>
    </row>
    <row r="300" spans="1:5" x14ac:dyDescent="0.2">
      <c r="A300" s="6">
        <v>8</v>
      </c>
      <c r="B300" t="s">
        <v>28</v>
      </c>
      <c r="C300" t="s">
        <v>25</v>
      </c>
      <c r="D300" s="8">
        <v>0.63500000000000001</v>
      </c>
      <c r="E300" s="22">
        <v>6.7890135780271565E-3</v>
      </c>
    </row>
    <row r="301" spans="1:5" x14ac:dyDescent="0.2">
      <c r="A301" s="6">
        <v>8</v>
      </c>
      <c r="B301" t="s">
        <v>28</v>
      </c>
      <c r="C301" t="s">
        <v>25</v>
      </c>
      <c r="D301" s="8">
        <v>0.64400000000000002</v>
      </c>
      <c r="E301" s="22">
        <v>7.0680141360282729E-3</v>
      </c>
    </row>
    <row r="302" spans="1:5" x14ac:dyDescent="0.2">
      <c r="A302" s="6">
        <v>12</v>
      </c>
      <c r="B302" t="s">
        <v>28</v>
      </c>
      <c r="C302" t="s">
        <v>25</v>
      </c>
      <c r="D302" s="8">
        <v>0.67400000000000004</v>
      </c>
      <c r="E302" s="22">
        <v>7.9980159960319937E-3</v>
      </c>
    </row>
    <row r="303" spans="1:5" x14ac:dyDescent="0.2">
      <c r="A303" s="6">
        <v>12</v>
      </c>
      <c r="B303" t="s">
        <v>28</v>
      </c>
      <c r="C303" t="s">
        <v>25</v>
      </c>
      <c r="D303" s="8">
        <v>0.63900000000000001</v>
      </c>
      <c r="E303" s="22">
        <v>7.3470146940293867E-3</v>
      </c>
    </row>
    <row r="304" spans="1:5" x14ac:dyDescent="0.2">
      <c r="A304" s="6">
        <v>12</v>
      </c>
      <c r="B304" t="s">
        <v>28</v>
      </c>
      <c r="C304" t="s">
        <v>25</v>
      </c>
      <c r="D304" s="8">
        <v>0.629</v>
      </c>
      <c r="E304" s="22">
        <v>6.6030132060264125E-3</v>
      </c>
    </row>
    <row r="305" spans="1:5" x14ac:dyDescent="0.2">
      <c r="A305" s="6">
        <v>12</v>
      </c>
      <c r="B305" t="s">
        <v>28</v>
      </c>
      <c r="C305" t="s">
        <v>25</v>
      </c>
      <c r="D305" s="8">
        <v>0.63400000000000001</v>
      </c>
      <c r="E305" s="22">
        <v>6.7580135160270321E-3</v>
      </c>
    </row>
    <row r="306" spans="1:5" x14ac:dyDescent="0.2">
      <c r="A306" s="6">
        <v>16</v>
      </c>
      <c r="B306" t="s">
        <v>28</v>
      </c>
      <c r="C306" t="s">
        <v>25</v>
      </c>
      <c r="D306" s="8">
        <v>0.67300000000000004</v>
      </c>
      <c r="E306" s="22">
        <v>7.9670159340318701E-3</v>
      </c>
    </row>
    <row r="307" spans="1:5" x14ac:dyDescent="0.2">
      <c r="A307" s="6">
        <v>16</v>
      </c>
      <c r="B307" t="s">
        <v>28</v>
      </c>
      <c r="C307" t="s">
        <v>25</v>
      </c>
      <c r="D307" s="8">
        <v>0.63500000000000001</v>
      </c>
      <c r="E307" s="22">
        <v>7.2230144460288907E-3</v>
      </c>
    </row>
    <row r="308" spans="1:5" x14ac:dyDescent="0.2">
      <c r="A308" s="6">
        <v>16</v>
      </c>
      <c r="B308" t="s">
        <v>28</v>
      </c>
      <c r="C308" t="s">
        <v>25</v>
      </c>
      <c r="D308" s="8">
        <v>0.627</v>
      </c>
      <c r="E308" s="22">
        <v>6.5410130820261645E-3</v>
      </c>
    </row>
    <row r="309" spans="1:5" x14ac:dyDescent="0.2">
      <c r="A309" s="6">
        <v>16</v>
      </c>
      <c r="B309" t="s">
        <v>28</v>
      </c>
      <c r="C309" t="s">
        <v>25</v>
      </c>
      <c r="D309" s="8">
        <v>0.63100000000000001</v>
      </c>
      <c r="E309" s="22">
        <v>6.6650133300266605E-3</v>
      </c>
    </row>
    <row r="310" spans="1:5" x14ac:dyDescent="0.2">
      <c r="A310" s="6">
        <v>20</v>
      </c>
      <c r="B310" t="s">
        <v>28</v>
      </c>
      <c r="C310" t="s">
        <v>25</v>
      </c>
      <c r="D310" s="8">
        <v>0.66700000000000004</v>
      </c>
      <c r="E310" s="22">
        <v>7.7810155620311253E-3</v>
      </c>
    </row>
    <row r="311" spans="1:5" x14ac:dyDescent="0.2">
      <c r="A311" s="6">
        <v>20</v>
      </c>
      <c r="B311" t="s">
        <v>28</v>
      </c>
      <c r="C311" t="s">
        <v>25</v>
      </c>
      <c r="D311" s="8">
        <v>0.627</v>
      </c>
      <c r="E311" s="22">
        <v>6.9750139500278988E-3</v>
      </c>
    </row>
    <row r="312" spans="1:5" x14ac:dyDescent="0.2">
      <c r="A312" s="6">
        <v>20</v>
      </c>
      <c r="B312" t="s">
        <v>28</v>
      </c>
      <c r="C312" t="s">
        <v>25</v>
      </c>
      <c r="D312" s="8">
        <v>0.629</v>
      </c>
      <c r="E312" s="22">
        <v>6.6030132060264125E-3</v>
      </c>
    </row>
    <row r="313" spans="1:5" x14ac:dyDescent="0.2">
      <c r="A313" s="6">
        <v>20</v>
      </c>
      <c r="B313" t="s">
        <v>28</v>
      </c>
      <c r="C313" t="s">
        <v>25</v>
      </c>
      <c r="D313" s="8">
        <v>0.63700000000000001</v>
      </c>
      <c r="E313" s="22">
        <v>6.8510137020274045E-3</v>
      </c>
    </row>
    <row r="318" spans="1:5" x14ac:dyDescent="0.2">
      <c r="D318" s="8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17E6E-7A7F-E04D-9EBE-C6B47B2B60FF}">
  <dimension ref="A1:E79"/>
  <sheetViews>
    <sheetView topLeftCell="A50" workbookViewId="0">
      <selection activeCell="G19" sqref="G19"/>
    </sheetView>
  </sheetViews>
  <sheetFormatPr baseColWidth="10" defaultRowHeight="16" x14ac:dyDescent="0.2"/>
  <cols>
    <col min="4" max="4" width="14.5" customWidth="1"/>
    <col min="5" max="5" width="13.5" customWidth="1"/>
  </cols>
  <sheetData>
    <row r="1" spans="1:5" x14ac:dyDescent="0.2">
      <c r="A1" s="20" t="s">
        <v>14</v>
      </c>
      <c r="B1" s="18" t="s">
        <v>18</v>
      </c>
      <c r="C1" s="20" t="s">
        <v>15</v>
      </c>
      <c r="D1" s="20" t="s">
        <v>26</v>
      </c>
      <c r="E1" s="20" t="s">
        <v>27</v>
      </c>
    </row>
    <row r="2" spans="1:5" x14ac:dyDescent="0.2">
      <c r="A2" s="6">
        <v>0</v>
      </c>
      <c r="B2" t="s">
        <v>19</v>
      </c>
      <c r="C2" t="s">
        <v>20</v>
      </c>
      <c r="D2" s="21">
        <v>0</v>
      </c>
      <c r="E2" s="21">
        <v>0</v>
      </c>
    </row>
    <row r="3" spans="1:5" x14ac:dyDescent="0.2">
      <c r="A3" s="6">
        <v>10</v>
      </c>
      <c r="B3" t="s">
        <v>19</v>
      </c>
      <c r="C3" t="s">
        <v>20</v>
      </c>
      <c r="D3" s="21">
        <v>0.10526489306946864</v>
      </c>
      <c r="E3" s="21">
        <v>3.8175889523999356E-3</v>
      </c>
    </row>
    <row r="4" spans="1:5" x14ac:dyDescent="0.2">
      <c r="A4" s="6">
        <v>20</v>
      </c>
      <c r="B4" t="s">
        <v>19</v>
      </c>
      <c r="C4" t="s">
        <v>20</v>
      </c>
      <c r="D4" s="21">
        <v>0.13806099040769512</v>
      </c>
      <c r="E4" s="21">
        <v>7.4648551131150237E-3</v>
      </c>
    </row>
    <row r="5" spans="1:5" x14ac:dyDescent="0.2">
      <c r="A5" s="6">
        <v>30</v>
      </c>
      <c r="B5" t="s">
        <v>19</v>
      </c>
      <c r="C5" t="s">
        <v>20</v>
      </c>
      <c r="D5" s="21">
        <v>0.17138605705782842</v>
      </c>
      <c r="E5" s="21">
        <v>6.2340966540440131E-3</v>
      </c>
    </row>
    <row r="6" spans="1:5" x14ac:dyDescent="0.2">
      <c r="A6" s="6">
        <v>40</v>
      </c>
      <c r="B6" t="s">
        <v>19</v>
      </c>
      <c r="C6" t="s">
        <v>20</v>
      </c>
      <c r="D6" s="21">
        <v>0.17085708774592154</v>
      </c>
      <c r="E6" s="21">
        <v>1.0942362262949458E-2</v>
      </c>
    </row>
    <row r="7" spans="1:5" x14ac:dyDescent="0.2">
      <c r="A7" s="6">
        <v>50</v>
      </c>
      <c r="B7" t="s">
        <v>19</v>
      </c>
      <c r="C7" t="s">
        <v>20</v>
      </c>
      <c r="D7" s="21">
        <v>0.17984956604833846</v>
      </c>
      <c r="E7" s="21">
        <v>7.856533247907126E-3</v>
      </c>
    </row>
    <row r="8" spans="1:5" x14ac:dyDescent="0.2">
      <c r="A8" s="6">
        <v>60</v>
      </c>
      <c r="B8" t="s">
        <v>19</v>
      </c>
      <c r="C8" t="s">
        <v>20</v>
      </c>
      <c r="D8" s="21">
        <v>0.18461028985550035</v>
      </c>
      <c r="E8" s="21">
        <v>1.2951591192551777E-2</v>
      </c>
    </row>
    <row r="9" spans="1:5" x14ac:dyDescent="0.2">
      <c r="A9" s="6">
        <v>0</v>
      </c>
      <c r="B9" t="s">
        <v>19</v>
      </c>
      <c r="C9" t="s">
        <v>21</v>
      </c>
      <c r="D9" s="21">
        <v>0</v>
      </c>
      <c r="E9" s="21">
        <v>0</v>
      </c>
    </row>
    <row r="10" spans="1:5" x14ac:dyDescent="0.2">
      <c r="A10" s="6">
        <v>10</v>
      </c>
      <c r="B10" t="s">
        <v>19</v>
      </c>
      <c r="C10" t="s">
        <v>21</v>
      </c>
      <c r="D10" s="21">
        <v>0.10314284108279165</v>
      </c>
      <c r="E10" s="21">
        <v>1.7971515272762802E-3</v>
      </c>
    </row>
    <row r="11" spans="1:5" x14ac:dyDescent="0.2">
      <c r="A11" s="6">
        <v>20</v>
      </c>
      <c r="B11" t="s">
        <v>19</v>
      </c>
      <c r="C11" t="s">
        <v>21</v>
      </c>
      <c r="D11" s="21">
        <v>0.14715638102760364</v>
      </c>
      <c r="E11" s="21">
        <v>8.5600838238919473E-3</v>
      </c>
    </row>
    <row r="12" spans="1:5" x14ac:dyDescent="0.2">
      <c r="A12" s="6">
        <v>30</v>
      </c>
      <c r="B12" t="s">
        <v>19</v>
      </c>
      <c r="C12" t="s">
        <v>21</v>
      </c>
      <c r="D12" s="21">
        <v>0.1680516979711002</v>
      </c>
      <c r="E12" s="21">
        <v>8.2844592011076766E-3</v>
      </c>
    </row>
    <row r="13" spans="1:5" x14ac:dyDescent="0.2">
      <c r="A13" s="6">
        <v>40</v>
      </c>
      <c r="B13" t="s">
        <v>19</v>
      </c>
      <c r="C13" t="s">
        <v>21</v>
      </c>
      <c r="D13" s="21">
        <v>0.1716083476636103</v>
      </c>
      <c r="E13" s="21">
        <v>6.2900303454669409E-3</v>
      </c>
    </row>
    <row r="14" spans="1:5" x14ac:dyDescent="0.2">
      <c r="A14" s="6">
        <v>50</v>
      </c>
      <c r="B14" t="s">
        <v>19</v>
      </c>
      <c r="C14" t="s">
        <v>21</v>
      </c>
      <c r="D14" s="21">
        <v>0.17383125372142902</v>
      </c>
      <c r="E14" s="21">
        <v>7.1180587092349356E-3</v>
      </c>
    </row>
    <row r="15" spans="1:5" x14ac:dyDescent="0.2">
      <c r="A15" s="6">
        <v>60</v>
      </c>
      <c r="B15" t="s">
        <v>19</v>
      </c>
      <c r="C15" t="s">
        <v>21</v>
      </c>
      <c r="D15" s="21">
        <v>0.17383125372142902</v>
      </c>
      <c r="E15" s="21">
        <v>9.6256717554674531E-3</v>
      </c>
    </row>
    <row r="16" spans="1:5" x14ac:dyDescent="0.2">
      <c r="A16" s="6">
        <v>0</v>
      </c>
      <c r="B16" t="s">
        <v>19</v>
      </c>
      <c r="C16" t="s">
        <v>22</v>
      </c>
      <c r="D16" s="21">
        <v>0</v>
      </c>
      <c r="E16" s="21">
        <v>0</v>
      </c>
    </row>
    <row r="17" spans="1:5" x14ac:dyDescent="0.2">
      <c r="A17" s="6">
        <v>10</v>
      </c>
      <c r="B17" t="s">
        <v>19</v>
      </c>
      <c r="C17" t="s">
        <v>22</v>
      </c>
      <c r="D17" s="21">
        <v>0.10192982007977053</v>
      </c>
      <c r="E17" s="21">
        <v>1.1587912928250271E-2</v>
      </c>
    </row>
    <row r="18" spans="1:5" x14ac:dyDescent="0.2">
      <c r="A18" s="6">
        <v>20</v>
      </c>
      <c r="B18" t="s">
        <v>19</v>
      </c>
      <c r="C18" t="s">
        <v>22</v>
      </c>
      <c r="D18" s="21">
        <v>0.14999899659466231</v>
      </c>
      <c r="E18" s="21">
        <v>9.4191577793140309E-3</v>
      </c>
    </row>
    <row r="19" spans="1:5" x14ac:dyDescent="0.2">
      <c r="A19" s="6">
        <v>30</v>
      </c>
      <c r="B19" t="s">
        <v>19</v>
      </c>
      <c r="C19" t="s">
        <v>22</v>
      </c>
      <c r="D19" s="21">
        <v>0.163898517514631</v>
      </c>
      <c r="E19" s="21">
        <v>7.286652169162626E-3</v>
      </c>
    </row>
    <row r="20" spans="1:5" x14ac:dyDescent="0.2">
      <c r="A20" s="6">
        <v>40</v>
      </c>
      <c r="B20" t="s">
        <v>19</v>
      </c>
      <c r="C20" t="s">
        <v>22</v>
      </c>
      <c r="D20" s="21">
        <v>0.16679425103962447</v>
      </c>
      <c r="E20" s="21">
        <v>1.146905939737926E-2</v>
      </c>
    </row>
    <row r="21" spans="1:5" x14ac:dyDescent="0.2">
      <c r="A21" s="6">
        <v>50</v>
      </c>
      <c r="B21" t="s">
        <v>19</v>
      </c>
      <c r="C21" t="s">
        <v>22</v>
      </c>
      <c r="D21" s="21">
        <v>0.17200657138461273</v>
      </c>
      <c r="E21" s="21">
        <v>3.8379244162719799E-3</v>
      </c>
    </row>
    <row r="22" spans="1:5" x14ac:dyDescent="0.2">
      <c r="A22" s="6">
        <v>60</v>
      </c>
      <c r="B22" t="s">
        <v>19</v>
      </c>
      <c r="C22" t="s">
        <v>22</v>
      </c>
      <c r="D22" s="21">
        <v>0.16737339774462315</v>
      </c>
      <c r="E22" s="21">
        <v>5.3321362215811019E-3</v>
      </c>
    </row>
    <row r="23" spans="1:5" x14ac:dyDescent="0.2">
      <c r="A23" s="6">
        <v>0</v>
      </c>
      <c r="B23" t="s">
        <v>19</v>
      </c>
      <c r="C23" t="s">
        <v>23</v>
      </c>
      <c r="D23" s="21">
        <v>0</v>
      </c>
      <c r="E23" s="21">
        <v>0</v>
      </c>
    </row>
    <row r="24" spans="1:5" x14ac:dyDescent="0.2">
      <c r="A24" s="6">
        <v>10</v>
      </c>
      <c r="B24" t="s">
        <v>19</v>
      </c>
      <c r="C24" t="s">
        <v>23</v>
      </c>
      <c r="D24" s="21">
        <v>0.11182969590065293</v>
      </c>
      <c r="E24" s="21">
        <v>6.8300262118978312E-3</v>
      </c>
    </row>
    <row r="25" spans="1:5" x14ac:dyDescent="0.2">
      <c r="A25" s="6">
        <v>20</v>
      </c>
      <c r="B25" t="s">
        <v>19</v>
      </c>
      <c r="C25" t="s">
        <v>23</v>
      </c>
      <c r="D25" s="21">
        <v>0.16171451122888536</v>
      </c>
      <c r="E25" s="21">
        <v>1.2375160756412202E-2</v>
      </c>
    </row>
    <row r="26" spans="1:5" x14ac:dyDescent="0.2">
      <c r="A26" s="6">
        <v>30</v>
      </c>
      <c r="B26" t="s">
        <v>19</v>
      </c>
      <c r="C26" t="s">
        <v>23</v>
      </c>
      <c r="D26" s="21">
        <v>0.17761186995986059</v>
      </c>
      <c r="E26" s="21">
        <v>1.0742231289818034E-2</v>
      </c>
    </row>
    <row r="27" spans="1:5" x14ac:dyDescent="0.2">
      <c r="A27" s="6">
        <v>40</v>
      </c>
      <c r="B27" t="s">
        <v>19</v>
      </c>
      <c r="C27" t="s">
        <v>23</v>
      </c>
      <c r="D27" s="21">
        <v>0.18364190258195454</v>
      </c>
      <c r="E27" s="21">
        <v>1.1231079135914954E-2</v>
      </c>
    </row>
    <row r="28" spans="1:5" x14ac:dyDescent="0.2">
      <c r="A28" s="6">
        <v>50</v>
      </c>
      <c r="B28" t="s">
        <v>19</v>
      </c>
      <c r="C28" t="s">
        <v>23</v>
      </c>
      <c r="D28" s="21">
        <v>0.18912375042022186</v>
      </c>
      <c r="E28" s="21">
        <v>1.5059924534741708E-2</v>
      </c>
    </row>
    <row r="29" spans="1:5" x14ac:dyDescent="0.2">
      <c r="A29" s="6">
        <v>60</v>
      </c>
      <c r="B29" t="s">
        <v>19</v>
      </c>
      <c r="C29" t="s">
        <v>23</v>
      </c>
      <c r="D29" s="21">
        <v>0.1957019678261426</v>
      </c>
      <c r="E29" s="21">
        <v>1.456262278379483E-2</v>
      </c>
    </row>
    <row r="30" spans="1:5" x14ac:dyDescent="0.2">
      <c r="A30" s="6">
        <v>0</v>
      </c>
      <c r="B30" t="s">
        <v>19</v>
      </c>
      <c r="C30" t="s">
        <v>24</v>
      </c>
      <c r="D30" s="21">
        <v>0</v>
      </c>
      <c r="E30" s="21">
        <v>0</v>
      </c>
    </row>
    <row r="31" spans="1:5" x14ac:dyDescent="0.2">
      <c r="A31" s="6">
        <v>10</v>
      </c>
      <c r="B31" t="s">
        <v>19</v>
      </c>
      <c r="C31" t="s">
        <v>24</v>
      </c>
      <c r="D31" s="21">
        <v>0.11689407994200603</v>
      </c>
      <c r="E31" s="21">
        <v>4.8949748249146954E-3</v>
      </c>
    </row>
    <row r="32" spans="1:5" x14ac:dyDescent="0.2">
      <c r="A32" s="6">
        <v>20</v>
      </c>
      <c r="B32" t="s">
        <v>19</v>
      </c>
      <c r="C32" t="s">
        <v>24</v>
      </c>
      <c r="D32" s="21">
        <v>0.16499403628177889</v>
      </c>
      <c r="E32" s="21">
        <v>5.1494266587437075E-3</v>
      </c>
    </row>
    <row r="33" spans="1:5" x14ac:dyDescent="0.2">
      <c r="A33" s="6">
        <v>30</v>
      </c>
      <c r="B33" t="s">
        <v>19</v>
      </c>
      <c r="C33" t="s">
        <v>24</v>
      </c>
      <c r="D33" s="21">
        <v>0.17394286536824824</v>
      </c>
      <c r="E33" s="21">
        <v>4.0364996475725111E-3</v>
      </c>
    </row>
    <row r="34" spans="1:5" x14ac:dyDescent="0.2">
      <c r="A34" s="6">
        <v>40</v>
      </c>
      <c r="B34" t="s">
        <v>19</v>
      </c>
      <c r="C34" t="s">
        <v>24</v>
      </c>
      <c r="D34" s="21">
        <v>0.17282426173243956</v>
      </c>
      <c r="E34" s="21">
        <v>4.0364996475725111E-3</v>
      </c>
    </row>
    <row r="35" spans="1:5" x14ac:dyDescent="0.2">
      <c r="A35" s="6">
        <v>50</v>
      </c>
      <c r="B35" t="s">
        <v>19</v>
      </c>
      <c r="C35" t="s">
        <v>24</v>
      </c>
      <c r="D35" s="21">
        <v>0.1784172799114829</v>
      </c>
      <c r="E35" s="21">
        <v>3.3439044021008318E-3</v>
      </c>
    </row>
    <row r="36" spans="1:5" x14ac:dyDescent="0.2">
      <c r="A36" s="6">
        <v>60</v>
      </c>
      <c r="B36" t="s">
        <v>19</v>
      </c>
      <c r="C36" t="s">
        <v>24</v>
      </c>
      <c r="D36" s="21">
        <v>0.1784172799114829</v>
      </c>
      <c r="E36" s="21">
        <v>4.8949748249146842E-3</v>
      </c>
    </row>
    <row r="37" spans="1:5" x14ac:dyDescent="0.2">
      <c r="A37" s="6">
        <v>0</v>
      </c>
      <c r="B37" t="s">
        <v>19</v>
      </c>
      <c r="C37" t="s">
        <v>25</v>
      </c>
      <c r="D37" s="21">
        <v>0</v>
      </c>
      <c r="E37" s="21">
        <v>0</v>
      </c>
    </row>
    <row r="38" spans="1:5" x14ac:dyDescent="0.2">
      <c r="A38" s="6">
        <v>10</v>
      </c>
      <c r="B38" t="s">
        <v>19</v>
      </c>
      <c r="C38" t="s">
        <v>25</v>
      </c>
      <c r="D38" s="21">
        <v>0.1084642364764265</v>
      </c>
      <c r="E38" s="21">
        <v>6.3230863531622957E-3</v>
      </c>
    </row>
    <row r="39" spans="1:5" x14ac:dyDescent="0.2">
      <c r="A39" s="6">
        <v>20</v>
      </c>
      <c r="B39" t="s">
        <v>19</v>
      </c>
      <c r="C39" t="s">
        <v>25</v>
      </c>
      <c r="D39" s="21">
        <v>0.15732200065499702</v>
      </c>
      <c r="E39" s="21">
        <v>9.1043018343267418E-3</v>
      </c>
    </row>
    <row r="40" spans="1:5" x14ac:dyDescent="0.2">
      <c r="A40" s="6">
        <v>30</v>
      </c>
      <c r="B40" t="s">
        <v>19</v>
      </c>
      <c r="C40" t="s">
        <v>25</v>
      </c>
      <c r="D40" s="21">
        <v>0.17051359698321106</v>
      </c>
      <c r="E40" s="21">
        <v>1.1631980901963828E-2</v>
      </c>
    </row>
    <row r="41" spans="1:5" x14ac:dyDescent="0.2">
      <c r="A41" s="6">
        <v>40</v>
      </c>
      <c r="B41" t="s">
        <v>19</v>
      </c>
      <c r="C41" t="s">
        <v>25</v>
      </c>
      <c r="D41" s="21">
        <v>0.17197932990856815</v>
      </c>
      <c r="E41" s="21">
        <v>1.1431141054325534E-2</v>
      </c>
    </row>
    <row r="42" spans="1:5" x14ac:dyDescent="0.2">
      <c r="A42" s="6">
        <v>50</v>
      </c>
      <c r="B42" t="s">
        <v>19</v>
      </c>
      <c r="C42" t="s">
        <v>25</v>
      </c>
      <c r="D42" s="21">
        <v>0.17393364047571103</v>
      </c>
      <c r="E42" s="21">
        <v>1.1259234403900628E-2</v>
      </c>
    </row>
    <row r="43" spans="1:5" x14ac:dyDescent="0.2">
      <c r="A43" s="6">
        <v>60</v>
      </c>
      <c r="B43" t="s">
        <v>19</v>
      </c>
      <c r="C43" t="s">
        <v>25</v>
      </c>
      <c r="D43" s="21">
        <v>0.17539937340106815</v>
      </c>
      <c r="E43" s="21">
        <v>1.2204719261430231E-2</v>
      </c>
    </row>
    <row r="44" spans="1:5" x14ac:dyDescent="0.2">
      <c r="A44" s="6">
        <v>0</v>
      </c>
      <c r="B44" t="s">
        <v>28</v>
      </c>
      <c r="C44" t="s">
        <v>20</v>
      </c>
      <c r="D44" s="21">
        <v>0</v>
      </c>
      <c r="E44" s="21">
        <v>0</v>
      </c>
    </row>
    <row r="45" spans="1:5" x14ac:dyDescent="0.2">
      <c r="A45" s="6">
        <v>4</v>
      </c>
      <c r="B45" t="s">
        <v>28</v>
      </c>
      <c r="C45" t="s">
        <v>20</v>
      </c>
      <c r="D45" s="21">
        <v>0.46272258634482666</v>
      </c>
      <c r="E45" s="21">
        <v>3.9615649914252322E-2</v>
      </c>
    </row>
    <row r="46" spans="1:5" x14ac:dyDescent="0.2">
      <c r="A46" s="6">
        <v>8</v>
      </c>
      <c r="B46" t="s">
        <v>28</v>
      </c>
      <c r="C46" t="s">
        <v>20</v>
      </c>
      <c r="D46" s="21">
        <v>0.48098795159528024</v>
      </c>
      <c r="E46" s="21">
        <v>4.4224483623426888E-2</v>
      </c>
    </row>
    <row r="47" spans="1:5" x14ac:dyDescent="0.2">
      <c r="A47" s="6">
        <v>12</v>
      </c>
      <c r="B47" t="s">
        <v>28</v>
      </c>
      <c r="C47" t="s">
        <v>20</v>
      </c>
      <c r="D47" s="21">
        <v>0.47711348017851735</v>
      </c>
      <c r="E47" s="21">
        <v>3.2210338002964835E-2</v>
      </c>
    </row>
    <row r="48" spans="1:5" x14ac:dyDescent="0.2">
      <c r="A48" s="6">
        <v>16</v>
      </c>
      <c r="B48" t="s">
        <v>28</v>
      </c>
      <c r="C48" t="s">
        <v>20</v>
      </c>
      <c r="D48" s="21">
        <v>0.47600648834515652</v>
      </c>
      <c r="E48" s="21">
        <v>3.4553512702870104E-2</v>
      </c>
    </row>
    <row r="49" spans="1:5" x14ac:dyDescent="0.2">
      <c r="A49" s="6">
        <v>20</v>
      </c>
      <c r="B49" t="s">
        <v>28</v>
      </c>
      <c r="C49" t="s">
        <v>20</v>
      </c>
      <c r="D49" s="21">
        <v>0.47766697609519781</v>
      </c>
      <c r="E49" s="21">
        <v>3.5034600959588928E-2</v>
      </c>
    </row>
    <row r="50" spans="1:5" x14ac:dyDescent="0.2">
      <c r="A50" s="6">
        <v>0</v>
      </c>
      <c r="B50" t="s">
        <v>28</v>
      </c>
      <c r="C50" t="s">
        <v>21</v>
      </c>
      <c r="D50" s="21">
        <v>0</v>
      </c>
      <c r="E50" s="21">
        <v>0</v>
      </c>
    </row>
    <row r="51" spans="1:5" x14ac:dyDescent="0.2">
      <c r="A51" s="6">
        <v>4</v>
      </c>
      <c r="B51" t="s">
        <v>28</v>
      </c>
      <c r="C51" t="s">
        <v>21</v>
      </c>
      <c r="D51" s="21">
        <v>0.46683883864527975</v>
      </c>
      <c r="E51" s="21">
        <v>1.8241533221239E-2</v>
      </c>
    </row>
    <row r="52" spans="1:5" x14ac:dyDescent="0.2">
      <c r="A52" s="6">
        <v>8</v>
      </c>
      <c r="B52" t="s">
        <v>28</v>
      </c>
      <c r="C52" t="s">
        <v>21</v>
      </c>
      <c r="D52" s="21">
        <v>0.50354679543052383</v>
      </c>
      <c r="E52" s="21">
        <v>1.5442480101896604E-2</v>
      </c>
    </row>
    <row r="53" spans="1:5" x14ac:dyDescent="0.2">
      <c r="A53" s="6">
        <v>12</v>
      </c>
      <c r="B53" t="s">
        <v>28</v>
      </c>
      <c r="C53" t="s">
        <v>21</v>
      </c>
      <c r="D53" s="21">
        <v>0.49922821227931863</v>
      </c>
      <c r="E53" s="21">
        <v>1.2887632056825027E-2</v>
      </c>
    </row>
    <row r="54" spans="1:5" x14ac:dyDescent="0.2">
      <c r="A54" s="6">
        <v>16</v>
      </c>
      <c r="B54" t="s">
        <v>28</v>
      </c>
      <c r="C54" t="s">
        <v>21</v>
      </c>
      <c r="D54" s="21">
        <v>0.50916095352709057</v>
      </c>
      <c r="E54" s="21">
        <v>3.7795971920237463E-3</v>
      </c>
    </row>
    <row r="55" spans="1:5" x14ac:dyDescent="0.2">
      <c r="A55" s="6">
        <v>20</v>
      </c>
      <c r="B55" t="s">
        <v>28</v>
      </c>
      <c r="C55" t="s">
        <v>21</v>
      </c>
      <c r="D55" s="21">
        <v>0.50613794532124701</v>
      </c>
      <c r="E55" s="21">
        <v>1.3352199428399228E-2</v>
      </c>
    </row>
    <row r="56" spans="1:5" x14ac:dyDescent="0.2">
      <c r="A56" s="6">
        <v>0</v>
      </c>
      <c r="B56" t="s">
        <v>28</v>
      </c>
      <c r="C56" t="s">
        <v>22</v>
      </c>
      <c r="D56" s="21">
        <v>0</v>
      </c>
      <c r="E56" s="21">
        <v>0</v>
      </c>
    </row>
    <row r="57" spans="1:5" x14ac:dyDescent="0.2">
      <c r="A57" s="6">
        <v>4</v>
      </c>
      <c r="B57" t="s">
        <v>28</v>
      </c>
      <c r="C57" t="s">
        <v>22</v>
      </c>
      <c r="D57" s="21">
        <v>0.46730660354744735</v>
      </c>
      <c r="E57" s="21">
        <v>2.5122787675071284E-2</v>
      </c>
    </row>
    <row r="58" spans="1:5" x14ac:dyDescent="0.2">
      <c r="A58" s="6">
        <v>8</v>
      </c>
      <c r="B58" t="s">
        <v>28</v>
      </c>
      <c r="C58" t="s">
        <v>22</v>
      </c>
      <c r="D58" s="21">
        <v>0.47395650346856244</v>
      </c>
      <c r="E58" s="21">
        <v>3.2002807385308196E-2</v>
      </c>
    </row>
    <row r="59" spans="1:5" x14ac:dyDescent="0.2">
      <c r="A59" s="6">
        <v>12</v>
      </c>
      <c r="B59" t="s">
        <v>28</v>
      </c>
      <c r="C59" t="s">
        <v>22</v>
      </c>
      <c r="D59" s="21">
        <v>0.47516557618149236</v>
      </c>
      <c r="E59" s="21">
        <v>2.679776399282208E-2</v>
      </c>
    </row>
    <row r="60" spans="1:5" x14ac:dyDescent="0.2">
      <c r="A60" s="6">
        <v>16</v>
      </c>
      <c r="B60" t="s">
        <v>28</v>
      </c>
      <c r="C60" t="s">
        <v>22</v>
      </c>
      <c r="D60" s="21">
        <v>0.47637464889442249</v>
      </c>
      <c r="E60" s="21">
        <v>2.4005992834421477E-2</v>
      </c>
    </row>
    <row r="61" spans="1:5" x14ac:dyDescent="0.2">
      <c r="A61" s="6">
        <v>20</v>
      </c>
      <c r="B61" t="s">
        <v>28</v>
      </c>
      <c r="C61" t="s">
        <v>22</v>
      </c>
      <c r="D61" s="21">
        <v>0.47032928532977236</v>
      </c>
      <c r="E61" s="21">
        <v>3.1792183329930196E-2</v>
      </c>
    </row>
    <row r="62" spans="1:5" x14ac:dyDescent="0.2">
      <c r="A62" s="6">
        <v>0</v>
      </c>
      <c r="B62" t="s">
        <v>28</v>
      </c>
      <c r="C62" t="s">
        <v>23</v>
      </c>
      <c r="D62" s="21">
        <v>0</v>
      </c>
      <c r="E62" s="21">
        <v>0</v>
      </c>
    </row>
    <row r="63" spans="1:5" x14ac:dyDescent="0.2">
      <c r="A63" s="6">
        <v>4</v>
      </c>
      <c r="B63" t="s">
        <v>28</v>
      </c>
      <c r="C63" t="s">
        <v>23</v>
      </c>
      <c r="D63" s="21">
        <v>0.49648700992317235</v>
      </c>
      <c r="E63" s="21">
        <v>2.2100058912235876E-2</v>
      </c>
    </row>
    <row r="64" spans="1:5" x14ac:dyDescent="0.2">
      <c r="A64" s="6">
        <v>8</v>
      </c>
      <c r="B64" t="s">
        <v>28</v>
      </c>
      <c r="C64" t="s">
        <v>23</v>
      </c>
      <c r="D64" s="21">
        <v>0.49987599975199948</v>
      </c>
      <c r="E64" s="21">
        <v>1.7860103070317865E-2</v>
      </c>
    </row>
    <row r="65" spans="1:5" x14ac:dyDescent="0.2">
      <c r="A65" s="6">
        <v>12</v>
      </c>
      <c r="B65" t="s">
        <v>28</v>
      </c>
      <c r="C65" t="s">
        <v>23</v>
      </c>
      <c r="D65" s="21">
        <v>0.50382982121896447</v>
      </c>
      <c r="E65" s="21">
        <v>6.252925264507778E-3</v>
      </c>
    </row>
    <row r="66" spans="1:5" x14ac:dyDescent="0.2">
      <c r="A66" s="6">
        <v>16</v>
      </c>
      <c r="B66" t="s">
        <v>28</v>
      </c>
      <c r="C66" t="s">
        <v>23</v>
      </c>
      <c r="D66" s="21">
        <v>0.5049594844952402</v>
      </c>
      <c r="E66" s="21">
        <v>1.8443479795380816E-2</v>
      </c>
    </row>
    <row r="67" spans="1:5" x14ac:dyDescent="0.2">
      <c r="A67" s="6">
        <v>20</v>
      </c>
      <c r="B67" t="s">
        <v>28</v>
      </c>
      <c r="C67" t="s">
        <v>23</v>
      </c>
      <c r="D67" s="21">
        <v>0.52755275002075419</v>
      </c>
      <c r="E67" s="21">
        <v>3.1076472399211168E-2</v>
      </c>
    </row>
    <row r="68" spans="1:5" x14ac:dyDescent="0.2">
      <c r="A68" s="6">
        <v>0</v>
      </c>
      <c r="B68" t="s">
        <v>28</v>
      </c>
      <c r="C68" t="s">
        <v>24</v>
      </c>
      <c r="D68" s="21">
        <v>0</v>
      </c>
      <c r="E68" s="21">
        <v>0</v>
      </c>
    </row>
    <row r="69" spans="1:5" x14ac:dyDescent="0.2">
      <c r="A69" s="6">
        <v>4</v>
      </c>
      <c r="B69" t="s">
        <v>28</v>
      </c>
      <c r="C69" t="s">
        <v>24</v>
      </c>
      <c r="D69" s="21">
        <v>0.49133817275899011</v>
      </c>
      <c r="E69" s="21">
        <v>2.0946953982696678E-2</v>
      </c>
    </row>
    <row r="70" spans="1:5" x14ac:dyDescent="0.2">
      <c r="A70" s="6">
        <v>8</v>
      </c>
      <c r="B70" t="s">
        <v>28</v>
      </c>
      <c r="C70" t="s">
        <v>24</v>
      </c>
      <c r="D70" s="21">
        <v>0.50125306862183971</v>
      </c>
      <c r="E70" s="21">
        <v>2.421306779275096E-2</v>
      </c>
    </row>
    <row r="71" spans="1:5" x14ac:dyDescent="0.2">
      <c r="A71" s="6">
        <v>12</v>
      </c>
      <c r="B71" t="s">
        <v>28</v>
      </c>
      <c r="C71" t="s">
        <v>24</v>
      </c>
      <c r="D71" s="21">
        <v>0.51061713693675315</v>
      </c>
      <c r="E71" s="21">
        <v>2.7151040213026167E-2</v>
      </c>
    </row>
    <row r="72" spans="1:5" x14ac:dyDescent="0.2">
      <c r="A72" s="6">
        <v>16</v>
      </c>
      <c r="B72" t="s">
        <v>28</v>
      </c>
      <c r="C72" t="s">
        <v>24</v>
      </c>
      <c r="D72" s="21">
        <v>0.50731217164913678</v>
      </c>
      <c r="E72" s="21">
        <v>2.7151040213026171E-2</v>
      </c>
    </row>
    <row r="73" spans="1:5" x14ac:dyDescent="0.2">
      <c r="A73" s="6">
        <v>20</v>
      </c>
      <c r="B73" t="s">
        <v>28</v>
      </c>
      <c r="C73" t="s">
        <v>24</v>
      </c>
      <c r="D73" s="21">
        <v>0.50676134410120066</v>
      </c>
      <c r="E73" s="21">
        <v>2.6157051441309549E-2</v>
      </c>
    </row>
    <row r="74" spans="1:5" x14ac:dyDescent="0.2">
      <c r="A74" s="6">
        <v>0</v>
      </c>
      <c r="B74" t="s">
        <v>28</v>
      </c>
      <c r="C74" t="s">
        <v>25</v>
      </c>
      <c r="D74" s="21">
        <v>0</v>
      </c>
      <c r="E74" s="21">
        <v>0</v>
      </c>
    </row>
    <row r="75" spans="1:5" x14ac:dyDescent="0.2">
      <c r="A75" s="6">
        <v>4</v>
      </c>
      <c r="B75" t="s">
        <v>28</v>
      </c>
      <c r="C75" t="s">
        <v>25</v>
      </c>
      <c r="D75" s="21">
        <v>0.41735101652021483</v>
      </c>
      <c r="E75" s="21">
        <v>4.045128007246724E-2</v>
      </c>
    </row>
    <row r="76" spans="1:5" x14ac:dyDescent="0.2">
      <c r="A76" s="6">
        <v>8</v>
      </c>
      <c r="B76" t="s">
        <v>28</v>
      </c>
      <c r="C76" t="s">
        <v>25</v>
      </c>
      <c r="D76" s="21">
        <v>0.46243074304330434</v>
      </c>
      <c r="E76" s="21">
        <v>3.4009123813124029E-2</v>
      </c>
    </row>
    <row r="77" spans="1:5" x14ac:dyDescent="0.2">
      <c r="A77" s="6">
        <v>12</v>
      </c>
      <c r="B77" t="s">
        <v>28</v>
      </c>
      <c r="C77" t="s">
        <v>25</v>
      </c>
      <c r="D77" s="21">
        <v>0.4488583522621592</v>
      </c>
      <c r="E77" s="21">
        <v>3.4735180388012425E-2</v>
      </c>
    </row>
    <row r="78" spans="1:5" x14ac:dyDescent="0.2">
      <c r="A78" s="6">
        <v>16</v>
      </c>
      <c r="B78" t="s">
        <v>28</v>
      </c>
      <c r="C78" t="s">
        <v>25</v>
      </c>
      <c r="D78" s="21">
        <v>0.44401106984032157</v>
      </c>
      <c r="E78" s="21">
        <v>3.5594990828388608E-2</v>
      </c>
    </row>
    <row r="79" spans="1:5" x14ac:dyDescent="0.2">
      <c r="A79" s="6">
        <v>20</v>
      </c>
      <c r="B79" t="s">
        <v>28</v>
      </c>
      <c r="C79" t="s">
        <v>25</v>
      </c>
      <c r="D79" s="21">
        <v>0.44110270038721905</v>
      </c>
      <c r="E79" s="21">
        <v>2.7900523167019249E-2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Water</vt:lpstr>
      <vt:lpstr>Oil</vt:lpstr>
      <vt:lpstr>Formatting for R</vt:lpstr>
      <vt:lpstr>Figures for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Mackenzie Jane Lanning</dc:creator>
  <cp:lastModifiedBy>Mackenzie Jane Lanning</cp:lastModifiedBy>
  <dcterms:created xsi:type="dcterms:W3CDTF">2026-05-26T21:03:49Z</dcterms:created>
  <dcterms:modified xsi:type="dcterms:W3CDTF">2026-05-26T23:29:25Z</dcterms:modified>
</cp:coreProperties>
</file>