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77" documentId="8_{133EB672-F99B-DF45-A232-33D7855FC6A1}" xr6:coauthVersionLast="47" xr6:coauthVersionMax="47" xr10:uidLastSave="{710FAC4D-19C9-834D-B819-9743B0A62104}"/>
  <bookViews>
    <workbookView minimized="1" xWindow="4440" yWindow="1060" windowWidth="24400" windowHeight="16860" activeTab="1" xr2:uid="{3CC27968-E901-F643-BE5A-04789217F4F4}"/>
  </bookViews>
  <sheets>
    <sheet name="Metsä OBA" sheetId="3" r:id="rId1"/>
    <sheet name="Formatting for R" sheetId="4" r:id="rId2"/>
    <sheet name="Figures for R" sheetId="5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3" l="1"/>
  <c r="G59" i="3"/>
  <c r="P89" i="3" l="1"/>
  <c r="O89" i="3"/>
  <c r="N89" i="3"/>
  <c r="M89" i="3"/>
  <c r="L89" i="3"/>
  <c r="P83" i="3"/>
  <c r="O83" i="3"/>
  <c r="N83" i="3"/>
  <c r="M83" i="3"/>
  <c r="L83" i="3"/>
  <c r="P88" i="3"/>
  <c r="P87" i="3"/>
  <c r="P86" i="3"/>
  <c r="P85" i="3"/>
  <c r="P82" i="3"/>
  <c r="P99" i="3" s="1"/>
  <c r="P81" i="3"/>
  <c r="P80" i="3"/>
  <c r="P79" i="3"/>
  <c r="P77" i="3"/>
  <c r="P76" i="3"/>
  <c r="P75" i="3"/>
  <c r="P74" i="3"/>
  <c r="P73" i="3"/>
  <c r="P71" i="3"/>
  <c r="P70" i="3"/>
  <c r="P69" i="3"/>
  <c r="P68" i="3"/>
  <c r="P67" i="3"/>
  <c r="P65" i="3"/>
  <c r="P64" i="3"/>
  <c r="P63" i="3"/>
  <c r="P62" i="3"/>
  <c r="P61" i="3"/>
  <c r="P59" i="3"/>
  <c r="P58" i="3"/>
  <c r="P57" i="3"/>
  <c r="P56" i="3"/>
  <c r="P55" i="3"/>
  <c r="P53" i="3"/>
  <c r="P52" i="3"/>
  <c r="P51" i="3"/>
  <c r="P50" i="3"/>
  <c r="P49" i="3"/>
  <c r="O88" i="3"/>
  <c r="O87" i="3"/>
  <c r="O86" i="3"/>
  <c r="O100" i="3" s="1"/>
  <c r="O85" i="3"/>
  <c r="O82" i="3"/>
  <c r="O81" i="3"/>
  <c r="O80" i="3"/>
  <c r="O79" i="3"/>
  <c r="O110" i="3" s="1"/>
  <c r="O77" i="3"/>
  <c r="O76" i="3"/>
  <c r="O75" i="3"/>
  <c r="O74" i="3"/>
  <c r="O73" i="3"/>
  <c r="O71" i="3"/>
  <c r="O70" i="3"/>
  <c r="O69" i="3"/>
  <c r="O68" i="3"/>
  <c r="O67" i="3"/>
  <c r="O65" i="3"/>
  <c r="O64" i="3"/>
  <c r="O63" i="3"/>
  <c r="O62" i="3"/>
  <c r="O61" i="3"/>
  <c r="O59" i="3"/>
  <c r="O58" i="3"/>
  <c r="O57" i="3"/>
  <c r="O56" i="3"/>
  <c r="O95" i="3" s="1"/>
  <c r="O55" i="3"/>
  <c r="O53" i="3"/>
  <c r="O52" i="3"/>
  <c r="O51" i="3"/>
  <c r="O50" i="3"/>
  <c r="O49" i="3"/>
  <c r="O105" i="3" s="1"/>
  <c r="N88" i="3"/>
  <c r="N87" i="3"/>
  <c r="N86" i="3"/>
  <c r="N100" i="3" s="1"/>
  <c r="N85" i="3"/>
  <c r="N122" i="3" s="1"/>
  <c r="N82" i="3"/>
  <c r="N81" i="3"/>
  <c r="N80" i="3"/>
  <c r="N79" i="3"/>
  <c r="N77" i="3"/>
  <c r="N76" i="3"/>
  <c r="N75" i="3"/>
  <c r="N74" i="3"/>
  <c r="N73" i="3"/>
  <c r="N71" i="3"/>
  <c r="N70" i="3"/>
  <c r="N69" i="3"/>
  <c r="N68" i="3"/>
  <c r="N67" i="3"/>
  <c r="N97" i="3" s="1"/>
  <c r="N65" i="3"/>
  <c r="N64" i="3"/>
  <c r="N63" i="3"/>
  <c r="N62" i="3"/>
  <c r="N61" i="3"/>
  <c r="N59" i="3"/>
  <c r="N58" i="3"/>
  <c r="N57" i="3"/>
  <c r="N56" i="3"/>
  <c r="N55" i="3"/>
  <c r="N53" i="3"/>
  <c r="N52" i="3"/>
  <c r="N51" i="3"/>
  <c r="N50" i="3"/>
  <c r="N49" i="3"/>
  <c r="N94" i="3" s="1"/>
  <c r="M88" i="3"/>
  <c r="M87" i="3"/>
  <c r="M86" i="3"/>
  <c r="M111" i="3" s="1"/>
  <c r="M85" i="3"/>
  <c r="M82" i="3"/>
  <c r="M81" i="3"/>
  <c r="M80" i="3"/>
  <c r="M79" i="3"/>
  <c r="M77" i="3"/>
  <c r="M76" i="3"/>
  <c r="M75" i="3"/>
  <c r="M74" i="3"/>
  <c r="M73" i="3"/>
  <c r="M98" i="3" s="1"/>
  <c r="M71" i="3"/>
  <c r="M70" i="3"/>
  <c r="M69" i="3"/>
  <c r="M68" i="3"/>
  <c r="M67" i="3"/>
  <c r="M65" i="3"/>
  <c r="M64" i="3"/>
  <c r="M63" i="3"/>
  <c r="M62" i="3"/>
  <c r="M61" i="3"/>
  <c r="M107" i="3" s="1"/>
  <c r="M59" i="3"/>
  <c r="M58" i="3"/>
  <c r="M57" i="3"/>
  <c r="M56" i="3"/>
  <c r="M55" i="3"/>
  <c r="M53" i="3"/>
  <c r="M52" i="3"/>
  <c r="M51" i="3"/>
  <c r="M50" i="3"/>
  <c r="M49" i="3"/>
  <c r="L50" i="3"/>
  <c r="L51" i="3"/>
  <c r="L52" i="3"/>
  <c r="L53" i="3"/>
  <c r="G57" i="3"/>
  <c r="G58" i="3"/>
  <c r="G55" i="3"/>
  <c r="G56" i="3"/>
  <c r="N98" i="3" l="1"/>
  <c r="N107" i="3"/>
  <c r="N116" i="3"/>
  <c r="P97" i="3"/>
  <c r="P94" i="3"/>
  <c r="P110" i="3"/>
  <c r="P98" i="3"/>
  <c r="P96" i="3"/>
  <c r="P118" i="3"/>
  <c r="P106" i="3"/>
  <c r="P100" i="3"/>
  <c r="P116" i="3"/>
  <c r="O97" i="3"/>
  <c r="O107" i="3"/>
  <c r="O98" i="3"/>
  <c r="O111" i="3"/>
  <c r="O122" i="3"/>
  <c r="O99" i="3"/>
  <c r="O118" i="3"/>
  <c r="P122" i="3"/>
  <c r="N110" i="3"/>
  <c r="M122" i="3"/>
  <c r="M95" i="3"/>
  <c r="M97" i="3"/>
  <c r="M94" i="3"/>
  <c r="M110" i="3"/>
  <c r="M100" i="3"/>
  <c r="M118" i="3"/>
  <c r="M116" i="3"/>
  <c r="N99" i="3"/>
  <c r="N117" i="3"/>
  <c r="N118" i="3"/>
  <c r="P105" i="3"/>
  <c r="P107" i="3"/>
  <c r="P108" i="3"/>
  <c r="P120" i="3"/>
  <c r="P111" i="3"/>
  <c r="P117" i="3"/>
  <c r="P95" i="3"/>
  <c r="P119" i="3"/>
  <c r="P109" i="3"/>
  <c r="P121" i="3"/>
  <c r="O116" i="3"/>
  <c r="O94" i="3"/>
  <c r="O119" i="3"/>
  <c r="O96" i="3"/>
  <c r="O108" i="3"/>
  <c r="O120" i="3"/>
  <c r="O117" i="3"/>
  <c r="O109" i="3"/>
  <c r="O121" i="3"/>
  <c r="O106" i="3"/>
  <c r="N111" i="3"/>
  <c r="N106" i="3"/>
  <c r="N119" i="3"/>
  <c r="N96" i="3"/>
  <c r="N108" i="3"/>
  <c r="N120" i="3"/>
  <c r="N105" i="3"/>
  <c r="N95" i="3"/>
  <c r="N109" i="3"/>
  <c r="N121" i="3"/>
  <c r="M99" i="3"/>
  <c r="M119" i="3"/>
  <c r="M96" i="3"/>
  <c r="M108" i="3"/>
  <c r="M120" i="3"/>
  <c r="M105" i="3"/>
  <c r="M109" i="3"/>
  <c r="M121" i="3"/>
  <c r="M117" i="3"/>
  <c r="M106" i="3"/>
  <c r="G117" i="3"/>
  <c r="D49" i="3"/>
  <c r="E49" i="3"/>
  <c r="F49" i="3"/>
  <c r="G49" i="3"/>
  <c r="H49" i="3"/>
  <c r="I49" i="3"/>
  <c r="J49" i="3"/>
  <c r="K49" i="3"/>
  <c r="L49" i="3"/>
  <c r="D50" i="3"/>
  <c r="E50" i="3"/>
  <c r="F50" i="3"/>
  <c r="G50" i="3"/>
  <c r="H50" i="3"/>
  <c r="I50" i="3"/>
  <c r="J50" i="3"/>
  <c r="K50" i="3"/>
  <c r="D51" i="3"/>
  <c r="E51" i="3"/>
  <c r="F51" i="3"/>
  <c r="G51" i="3"/>
  <c r="H51" i="3"/>
  <c r="I51" i="3"/>
  <c r="J51" i="3"/>
  <c r="K51" i="3"/>
  <c r="D52" i="3"/>
  <c r="E52" i="3"/>
  <c r="F52" i="3"/>
  <c r="G52" i="3"/>
  <c r="H52" i="3"/>
  <c r="I52" i="3"/>
  <c r="J52" i="3"/>
  <c r="K52" i="3"/>
  <c r="D53" i="3"/>
  <c r="E53" i="3"/>
  <c r="F53" i="3"/>
  <c r="G53" i="3"/>
  <c r="H53" i="3"/>
  <c r="I53" i="3"/>
  <c r="J53" i="3"/>
  <c r="K53" i="3"/>
  <c r="D55" i="3"/>
  <c r="E55" i="3"/>
  <c r="F55" i="3"/>
  <c r="H55" i="3"/>
  <c r="I55" i="3"/>
  <c r="J55" i="3"/>
  <c r="K55" i="3"/>
  <c r="L55" i="3"/>
  <c r="D56" i="3"/>
  <c r="E56" i="3"/>
  <c r="F56" i="3"/>
  <c r="H56" i="3"/>
  <c r="I56" i="3"/>
  <c r="J56" i="3"/>
  <c r="K56" i="3"/>
  <c r="L56" i="3"/>
  <c r="D57" i="3"/>
  <c r="E57" i="3"/>
  <c r="F57" i="3"/>
  <c r="H57" i="3"/>
  <c r="I57" i="3"/>
  <c r="J57" i="3"/>
  <c r="K57" i="3"/>
  <c r="L57" i="3"/>
  <c r="D58" i="3"/>
  <c r="E58" i="3"/>
  <c r="F58" i="3"/>
  <c r="H58" i="3"/>
  <c r="I58" i="3"/>
  <c r="J58" i="3"/>
  <c r="K58" i="3"/>
  <c r="L58" i="3"/>
  <c r="D59" i="3"/>
  <c r="E59" i="3"/>
  <c r="F59" i="3"/>
  <c r="I59" i="3"/>
  <c r="J59" i="3"/>
  <c r="K59" i="3"/>
  <c r="L59" i="3"/>
  <c r="D61" i="3"/>
  <c r="E61" i="3"/>
  <c r="F61" i="3"/>
  <c r="G61" i="3"/>
  <c r="H61" i="3"/>
  <c r="I61" i="3"/>
  <c r="J61" i="3"/>
  <c r="K61" i="3"/>
  <c r="L61" i="3"/>
  <c r="D62" i="3"/>
  <c r="E62" i="3"/>
  <c r="F62" i="3"/>
  <c r="G62" i="3"/>
  <c r="H62" i="3"/>
  <c r="I62" i="3"/>
  <c r="J62" i="3"/>
  <c r="K62" i="3"/>
  <c r="L62" i="3"/>
  <c r="D63" i="3"/>
  <c r="E63" i="3"/>
  <c r="F63" i="3"/>
  <c r="G63" i="3"/>
  <c r="H63" i="3"/>
  <c r="I63" i="3"/>
  <c r="J63" i="3"/>
  <c r="K63" i="3"/>
  <c r="L63" i="3"/>
  <c r="D64" i="3"/>
  <c r="E64" i="3"/>
  <c r="F64" i="3"/>
  <c r="G64" i="3"/>
  <c r="H64" i="3"/>
  <c r="I64" i="3"/>
  <c r="J64" i="3"/>
  <c r="K64" i="3"/>
  <c r="L64" i="3"/>
  <c r="D65" i="3"/>
  <c r="E65" i="3"/>
  <c r="F65" i="3"/>
  <c r="G65" i="3"/>
  <c r="H65" i="3"/>
  <c r="I65" i="3"/>
  <c r="J65" i="3"/>
  <c r="K65" i="3"/>
  <c r="L65" i="3"/>
  <c r="D67" i="3"/>
  <c r="E67" i="3"/>
  <c r="F67" i="3"/>
  <c r="G67" i="3"/>
  <c r="H67" i="3"/>
  <c r="I67" i="3"/>
  <c r="J67" i="3"/>
  <c r="K67" i="3"/>
  <c r="L67" i="3"/>
  <c r="D68" i="3"/>
  <c r="E68" i="3"/>
  <c r="F68" i="3"/>
  <c r="G68" i="3"/>
  <c r="H68" i="3"/>
  <c r="I68" i="3"/>
  <c r="J68" i="3"/>
  <c r="K68" i="3"/>
  <c r="L68" i="3"/>
  <c r="D69" i="3"/>
  <c r="E69" i="3"/>
  <c r="F69" i="3"/>
  <c r="G69" i="3"/>
  <c r="H69" i="3"/>
  <c r="I69" i="3"/>
  <c r="J69" i="3"/>
  <c r="K69" i="3"/>
  <c r="L69" i="3"/>
  <c r="D70" i="3"/>
  <c r="E70" i="3"/>
  <c r="F70" i="3"/>
  <c r="G70" i="3"/>
  <c r="H70" i="3"/>
  <c r="I70" i="3"/>
  <c r="J70" i="3"/>
  <c r="K70" i="3"/>
  <c r="L70" i="3"/>
  <c r="D71" i="3"/>
  <c r="E71" i="3"/>
  <c r="F71" i="3"/>
  <c r="G71" i="3"/>
  <c r="H71" i="3"/>
  <c r="I71" i="3"/>
  <c r="J71" i="3"/>
  <c r="K71" i="3"/>
  <c r="L71" i="3"/>
  <c r="D73" i="3"/>
  <c r="E73" i="3"/>
  <c r="F73" i="3"/>
  <c r="G73" i="3"/>
  <c r="H73" i="3"/>
  <c r="I73" i="3"/>
  <c r="J73" i="3"/>
  <c r="K73" i="3"/>
  <c r="L73" i="3"/>
  <c r="D74" i="3"/>
  <c r="E74" i="3"/>
  <c r="F74" i="3"/>
  <c r="G74" i="3"/>
  <c r="H74" i="3"/>
  <c r="I74" i="3"/>
  <c r="J74" i="3"/>
  <c r="K74" i="3"/>
  <c r="L74" i="3"/>
  <c r="D75" i="3"/>
  <c r="E75" i="3"/>
  <c r="F75" i="3"/>
  <c r="G75" i="3"/>
  <c r="H75" i="3"/>
  <c r="I75" i="3"/>
  <c r="J75" i="3"/>
  <c r="K75" i="3"/>
  <c r="L75" i="3"/>
  <c r="D76" i="3"/>
  <c r="E76" i="3"/>
  <c r="F76" i="3"/>
  <c r="G76" i="3"/>
  <c r="H76" i="3"/>
  <c r="I76" i="3"/>
  <c r="J76" i="3"/>
  <c r="K76" i="3"/>
  <c r="L76" i="3"/>
  <c r="D77" i="3"/>
  <c r="E77" i="3"/>
  <c r="F77" i="3"/>
  <c r="G77" i="3"/>
  <c r="H77" i="3"/>
  <c r="I77" i="3"/>
  <c r="J77" i="3"/>
  <c r="K77" i="3"/>
  <c r="L77" i="3"/>
  <c r="D79" i="3"/>
  <c r="E79" i="3"/>
  <c r="F79" i="3"/>
  <c r="G79" i="3"/>
  <c r="H79" i="3"/>
  <c r="I79" i="3"/>
  <c r="J79" i="3"/>
  <c r="K79" i="3"/>
  <c r="L79" i="3"/>
  <c r="D80" i="3"/>
  <c r="E80" i="3"/>
  <c r="F80" i="3"/>
  <c r="G80" i="3"/>
  <c r="H80" i="3"/>
  <c r="I80" i="3"/>
  <c r="J80" i="3"/>
  <c r="K80" i="3"/>
  <c r="L80" i="3"/>
  <c r="D81" i="3"/>
  <c r="E81" i="3"/>
  <c r="F81" i="3"/>
  <c r="G81" i="3"/>
  <c r="H81" i="3"/>
  <c r="I81" i="3"/>
  <c r="J81" i="3"/>
  <c r="K81" i="3"/>
  <c r="L81" i="3"/>
  <c r="D82" i="3"/>
  <c r="E82" i="3"/>
  <c r="F82" i="3"/>
  <c r="H82" i="3"/>
  <c r="I82" i="3"/>
  <c r="J82" i="3"/>
  <c r="K82" i="3"/>
  <c r="L82" i="3"/>
  <c r="D83" i="3"/>
  <c r="E83" i="3"/>
  <c r="F83" i="3"/>
  <c r="G83" i="3"/>
  <c r="H83" i="3"/>
  <c r="I83" i="3"/>
  <c r="J83" i="3"/>
  <c r="K83" i="3"/>
  <c r="D85" i="3"/>
  <c r="E85" i="3"/>
  <c r="F85" i="3"/>
  <c r="G85" i="3"/>
  <c r="H85" i="3"/>
  <c r="I85" i="3"/>
  <c r="J85" i="3"/>
  <c r="K85" i="3"/>
  <c r="L85" i="3"/>
  <c r="D86" i="3"/>
  <c r="E86" i="3"/>
  <c r="F86" i="3"/>
  <c r="G86" i="3"/>
  <c r="H86" i="3"/>
  <c r="I86" i="3"/>
  <c r="J86" i="3"/>
  <c r="K86" i="3"/>
  <c r="L86" i="3"/>
  <c r="D87" i="3"/>
  <c r="E87" i="3"/>
  <c r="F87" i="3"/>
  <c r="G87" i="3"/>
  <c r="H87" i="3"/>
  <c r="I87" i="3"/>
  <c r="J87" i="3"/>
  <c r="K87" i="3"/>
  <c r="L87" i="3"/>
  <c r="D88" i="3"/>
  <c r="E88" i="3"/>
  <c r="F88" i="3"/>
  <c r="G88" i="3"/>
  <c r="H88" i="3"/>
  <c r="I88" i="3"/>
  <c r="J88" i="3"/>
  <c r="K88" i="3"/>
  <c r="L88" i="3"/>
  <c r="D89" i="3"/>
  <c r="E89" i="3"/>
  <c r="F89" i="3"/>
  <c r="G89" i="3"/>
  <c r="H89" i="3"/>
  <c r="I89" i="3"/>
  <c r="J89" i="3"/>
  <c r="K89" i="3"/>
  <c r="C86" i="3"/>
  <c r="C87" i="3"/>
  <c r="C88" i="3"/>
  <c r="C89" i="3"/>
  <c r="C85" i="3"/>
  <c r="C80" i="3"/>
  <c r="C81" i="3"/>
  <c r="C82" i="3"/>
  <c r="C83" i="3"/>
  <c r="C79" i="3"/>
  <c r="C74" i="3"/>
  <c r="C75" i="3"/>
  <c r="C76" i="3"/>
  <c r="C77" i="3"/>
  <c r="C73" i="3"/>
  <c r="C68" i="3"/>
  <c r="C69" i="3"/>
  <c r="C70" i="3"/>
  <c r="C71" i="3"/>
  <c r="C67" i="3"/>
  <c r="C65" i="3"/>
  <c r="C64" i="3"/>
  <c r="C63" i="3"/>
  <c r="C62" i="3"/>
  <c r="C61" i="3"/>
  <c r="C56" i="3"/>
  <c r="C57" i="3"/>
  <c r="C58" i="3"/>
  <c r="C59" i="3"/>
  <c r="C55" i="3"/>
  <c r="C53" i="3"/>
  <c r="C52" i="3"/>
  <c r="C51" i="3"/>
  <c r="C50" i="3"/>
  <c r="C49" i="3"/>
  <c r="H105" i="3" l="1"/>
  <c r="H110" i="3"/>
  <c r="F109" i="3"/>
  <c r="J108" i="3"/>
  <c r="C111" i="3"/>
  <c r="C108" i="3"/>
  <c r="I105" i="3"/>
  <c r="I110" i="3"/>
  <c r="K108" i="3"/>
  <c r="K106" i="3"/>
  <c r="L106" i="3"/>
  <c r="G107" i="3"/>
  <c r="E109" i="3"/>
  <c r="E111" i="3"/>
  <c r="L111" i="3"/>
  <c r="H107" i="3"/>
  <c r="G105" i="3"/>
  <c r="G110" i="3"/>
  <c r="L109" i="3"/>
  <c r="F107" i="3"/>
  <c r="J106" i="3"/>
  <c r="J111" i="3"/>
  <c r="F110" i="3"/>
  <c r="K109" i="3"/>
  <c r="H108" i="3"/>
  <c r="E107" i="3"/>
  <c r="I106" i="3"/>
  <c r="F105" i="3"/>
  <c r="K111" i="3"/>
  <c r="J109" i="3"/>
  <c r="L107" i="3"/>
  <c r="H106" i="3"/>
  <c r="E105" i="3"/>
  <c r="E110" i="3"/>
  <c r="G108" i="3"/>
  <c r="H111" i="3"/>
  <c r="L110" i="3"/>
  <c r="I109" i="3"/>
  <c r="F108" i="3"/>
  <c r="K107" i="3"/>
  <c r="G106" i="3"/>
  <c r="L105" i="3"/>
  <c r="K110" i="3"/>
  <c r="I108" i="3"/>
  <c r="I111" i="3"/>
  <c r="G111" i="3"/>
  <c r="H109" i="3"/>
  <c r="E108" i="3"/>
  <c r="J107" i="3"/>
  <c r="F106" i="3"/>
  <c r="K105" i="3"/>
  <c r="F111" i="3"/>
  <c r="J110" i="3"/>
  <c r="G109" i="3"/>
  <c r="L108" i="3"/>
  <c r="D108" i="3"/>
  <c r="I107" i="3"/>
  <c r="E106" i="3"/>
  <c r="J105" i="3"/>
  <c r="C120" i="3"/>
  <c r="C109" i="3"/>
  <c r="D109" i="3"/>
  <c r="C105" i="3"/>
  <c r="C116" i="3"/>
  <c r="C110" i="3"/>
  <c r="D107" i="3"/>
  <c r="C117" i="3"/>
  <c r="C106" i="3"/>
  <c r="D111" i="3"/>
  <c r="D105" i="3"/>
  <c r="D106" i="3"/>
  <c r="C107" i="3"/>
  <c r="D110" i="3"/>
  <c r="L116" i="3"/>
  <c r="C119" i="3"/>
  <c r="D121" i="3"/>
  <c r="G118" i="3"/>
  <c r="C122" i="3"/>
  <c r="E122" i="3"/>
  <c r="K120" i="3"/>
  <c r="H119" i="3"/>
  <c r="E118" i="3"/>
  <c r="K116" i="3"/>
  <c r="G122" i="3"/>
  <c r="L120" i="3"/>
  <c r="D122" i="3"/>
  <c r="J120" i="3"/>
  <c r="G119" i="3"/>
  <c r="D118" i="3"/>
  <c r="J116" i="3"/>
  <c r="K119" i="3"/>
  <c r="L121" i="3"/>
  <c r="I120" i="3"/>
  <c r="F119" i="3"/>
  <c r="L117" i="3"/>
  <c r="I116" i="3"/>
  <c r="H122" i="3"/>
  <c r="I119" i="3"/>
  <c r="K121" i="3"/>
  <c r="H120" i="3"/>
  <c r="E119" i="3"/>
  <c r="K117" i="3"/>
  <c r="H116" i="3"/>
  <c r="F118" i="3"/>
  <c r="C118" i="3"/>
  <c r="J121" i="3"/>
  <c r="G120" i="3"/>
  <c r="D119" i="3"/>
  <c r="J117" i="3"/>
  <c r="G116" i="3"/>
  <c r="L100" i="3"/>
  <c r="F120" i="3"/>
  <c r="L118" i="3"/>
  <c r="I117" i="3"/>
  <c r="F116" i="3"/>
  <c r="E121" i="3"/>
  <c r="K122" i="3"/>
  <c r="H121" i="3"/>
  <c r="E120" i="3"/>
  <c r="K118" i="3"/>
  <c r="H117" i="3"/>
  <c r="E116" i="3"/>
  <c r="D117" i="3"/>
  <c r="F122" i="3"/>
  <c r="G121" i="3"/>
  <c r="D120" i="3"/>
  <c r="J118" i="3"/>
  <c r="D116" i="3"/>
  <c r="C121" i="3"/>
  <c r="J122" i="3"/>
  <c r="I122" i="3"/>
  <c r="F121" i="3"/>
  <c r="L97" i="3"/>
  <c r="L122" i="3"/>
  <c r="I121" i="3"/>
  <c r="L119" i="3"/>
  <c r="I118" i="3"/>
  <c r="J119" i="3"/>
  <c r="H118" i="3"/>
  <c r="F117" i="3"/>
  <c r="E117" i="3"/>
  <c r="L95" i="3"/>
  <c r="L98" i="3"/>
  <c r="C94" i="3"/>
  <c r="G94" i="3"/>
  <c r="C95" i="3"/>
  <c r="G95" i="3"/>
  <c r="C96" i="3"/>
  <c r="G96" i="3"/>
  <c r="C97" i="3"/>
  <c r="G97" i="3"/>
  <c r="C98" i="3"/>
  <c r="G98" i="3"/>
  <c r="C99" i="3"/>
  <c r="G99" i="3"/>
  <c r="C100" i="3"/>
  <c r="G100" i="3"/>
  <c r="L99" i="3"/>
  <c r="D94" i="3"/>
  <c r="H94" i="3"/>
  <c r="D95" i="3"/>
  <c r="H95" i="3"/>
  <c r="D96" i="3"/>
  <c r="H96" i="3"/>
  <c r="D97" i="3"/>
  <c r="H97" i="3"/>
  <c r="D98" i="3"/>
  <c r="H98" i="3"/>
  <c r="D99" i="3"/>
  <c r="H99" i="3"/>
  <c r="D100" i="3"/>
  <c r="H100" i="3"/>
  <c r="L96" i="3"/>
  <c r="I94" i="3"/>
  <c r="I95" i="3"/>
  <c r="I96" i="3"/>
  <c r="I97" i="3"/>
  <c r="I98" i="3"/>
  <c r="I99" i="3"/>
  <c r="I100" i="3"/>
  <c r="J94" i="3"/>
  <c r="J95" i="3"/>
  <c r="J96" i="3"/>
  <c r="J97" i="3"/>
  <c r="J98" i="3"/>
  <c r="J99" i="3"/>
  <c r="J100" i="3"/>
  <c r="L94" i="3"/>
  <c r="K94" i="3"/>
  <c r="K95" i="3"/>
  <c r="K96" i="3"/>
  <c r="K97" i="3"/>
  <c r="K98" i="3"/>
  <c r="K99" i="3"/>
  <c r="K100" i="3"/>
  <c r="E94" i="3"/>
  <c r="E95" i="3"/>
  <c r="E96" i="3"/>
  <c r="E97" i="3"/>
  <c r="E98" i="3"/>
  <c r="E99" i="3"/>
  <c r="E100" i="3"/>
  <c r="F94" i="3"/>
  <c r="F95" i="3"/>
  <c r="F96" i="3"/>
  <c r="F97" i="3"/>
  <c r="F98" i="3"/>
  <c r="F99" i="3"/>
  <c r="F100" i="3"/>
</calcChain>
</file>

<file path=xl/sharedStrings.xml><?xml version="1.0" encoding="utf-8"?>
<sst xmlns="http://schemas.openxmlformats.org/spreadsheetml/2006/main" count="301" uniqueCount="32">
  <si>
    <t>Raw Weights (gms)</t>
  </si>
  <si>
    <t>Sample</t>
  </si>
  <si>
    <t>time (min)</t>
  </si>
  <si>
    <t>Stock Gloss       @ Room Temp</t>
  </si>
  <si>
    <t>Stock Matte       @ Room Temp</t>
  </si>
  <si>
    <t>Absorbed weights per unit area (gm/cm^2)</t>
  </si>
  <si>
    <t>MEAN VALUES - Absorbed weights per unit area (gm/cm^2)</t>
  </si>
  <si>
    <t>RMS - Absorbed weights per unit area (gm/cm^2)</t>
  </si>
  <si>
    <t>MEAN VALUES - Absorbed weights per dry paper weigth (gm/gm)</t>
  </si>
  <si>
    <t>25% WBBC Gloss @ 100°C</t>
  </si>
  <si>
    <t xml:space="preserve">Metsä OBA - </t>
  </si>
  <si>
    <t>0.1% Industrial GO Matte @ 100°C</t>
  </si>
  <si>
    <t xml:space="preserve">0.1% Industrial GO Gloss @ 100°C </t>
  </si>
  <si>
    <t>25% WBBC Matte @ 100°C</t>
  </si>
  <si>
    <t>0% GO Matte @ 100°C</t>
  </si>
  <si>
    <t>0% GO Gloss @ 100°C</t>
  </si>
  <si>
    <t>0.1 GO Matte @ 100°C</t>
  </si>
  <si>
    <t>0.1% GO Gloss @ 100°C</t>
  </si>
  <si>
    <t>0.1% Industrial GO + 25% WBBC Matte @ 100°C</t>
  </si>
  <si>
    <t>0.1% Industrial GO + 25% WBBC Gloss @ 100°C</t>
  </si>
  <si>
    <t>0.1% GO + 25% WBBC Matte @ 100°C</t>
  </si>
  <si>
    <t>0.1% GO + 25% WBBC Gloss @ 100°C</t>
  </si>
  <si>
    <t>Time</t>
  </si>
  <si>
    <t>Coating</t>
  </si>
  <si>
    <t>Stock</t>
  </si>
  <si>
    <t>Raw Weight</t>
  </si>
  <si>
    <t>DI Water</t>
  </si>
  <si>
    <t>0.1% GO</t>
  </si>
  <si>
    <t>25% WBBC</t>
  </si>
  <si>
    <t>25% WBBC + 0.1% GO</t>
  </si>
  <si>
    <t>Absorption</t>
  </si>
  <si>
    <t>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</si>
</sst>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1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'Metsä OBA'!$C$115</c:f>
              <c:strCache>
                <c:ptCount val="1"/>
                <c:pt idx="0">
                  <c:v>Stock Gloss       @ Room Temp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02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0.24329197339446332</c:v>
                </c:pt>
                <c:pt idx="2">
                  <c:v>0.31059723587547144</c:v>
                </c:pt>
                <c:pt idx="3">
                  <c:v>0.37073062612489649</c:v>
                </c:pt>
                <c:pt idx="4">
                  <c:v>0.4330707462917317</c:v>
                </c:pt>
                <c:pt idx="5">
                  <c:v>0.51637480067396302</c:v>
                </c:pt>
                <c:pt idx="6">
                  <c:v>0.61181586960194978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D-1146-93B9-426F2930081A}"/>
            </c:ext>
          </c:extLst>
        </c:ser>
        <c:ser>
          <c:idx val="1"/>
          <c:order val="1"/>
          <c:tx>
            <c:strRef>
              <c:f>'Metsä OBA'!$D$115</c:f>
              <c:strCache>
                <c:ptCount val="1"/>
                <c:pt idx="0">
                  <c:v>Stock Matte       @ Room Temp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3.5000000000000003E-2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OBA'!$D$116:$D$122</c:f>
              <c:numCache>
                <c:formatCode>0.0000</c:formatCode>
                <c:ptCount val="7"/>
                <c:pt idx="0">
                  <c:v>0</c:v>
                </c:pt>
                <c:pt idx="1">
                  <c:v>0.22512763005056177</c:v>
                </c:pt>
                <c:pt idx="2">
                  <c:v>0.28772409304023022</c:v>
                </c:pt>
                <c:pt idx="3">
                  <c:v>0.34208417932073165</c:v>
                </c:pt>
                <c:pt idx="4">
                  <c:v>0.37777514506045468</c:v>
                </c:pt>
                <c:pt idx="5">
                  <c:v>0.41621156970323359</c:v>
                </c:pt>
                <c:pt idx="6">
                  <c:v>0.45025526010112343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7D-1146-93B9-426F2930081A}"/>
            </c:ext>
          </c:extLst>
        </c:ser>
        <c:ser>
          <c:idx val="4"/>
          <c:order val="2"/>
          <c:tx>
            <c:strRef>
              <c:f>'Metsä OBA'!$G$115</c:f>
              <c:strCache>
                <c:ptCount val="1"/>
                <c:pt idx="0">
                  <c:v>0.1% Industrial GO Matte @ 100°C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01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OBA'!$G$116:$G$122</c:f>
              <c:numCache>
                <c:formatCode>0.0000</c:formatCode>
                <c:ptCount val="7"/>
                <c:pt idx="0">
                  <c:v>0</c:v>
                </c:pt>
                <c:pt idx="1">
                  <c:v>0.35955682375496012</c:v>
                </c:pt>
                <c:pt idx="2">
                  <c:v>0.44617733129592779</c:v>
                </c:pt>
                <c:pt idx="3">
                  <c:v>0.52517087590875988</c:v>
                </c:pt>
                <c:pt idx="4">
                  <c:v>0.61887356331156762</c:v>
                </c:pt>
                <c:pt idx="5">
                  <c:v>0.59381354226197935</c:v>
                </c:pt>
                <c:pt idx="6">
                  <c:v>0.62922444157118007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7D-1146-93B9-426F2930081A}"/>
            </c:ext>
          </c:extLst>
        </c:ser>
        <c:ser>
          <c:idx val="5"/>
          <c:order val="3"/>
          <c:tx>
            <c:strRef>
              <c:f>'Metsä OBA'!$H$115</c:f>
              <c:strCache>
                <c:ptCount val="1"/>
                <c:pt idx="0">
                  <c:v>0.1% Industrial GO Gloss @ 100°C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01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OBA'!$H$116:$H$122</c:f>
              <c:numCache>
                <c:formatCode>0.0000</c:formatCode>
                <c:ptCount val="7"/>
                <c:pt idx="0">
                  <c:v>0</c:v>
                </c:pt>
                <c:pt idx="1">
                  <c:v>0.22005114031633857</c:v>
                </c:pt>
                <c:pt idx="2">
                  <c:v>0.2780459268296166</c:v>
                </c:pt>
                <c:pt idx="3">
                  <c:v>0.32520953571984745</c:v>
                </c:pt>
                <c:pt idx="4">
                  <c:v>0.37182473055321497</c:v>
                </c:pt>
                <c:pt idx="5">
                  <c:v>0.42173040972776155</c:v>
                </c:pt>
                <c:pt idx="6">
                  <c:v>0.47986229975525529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7D-1146-93B9-426F2930081A}"/>
            </c:ext>
          </c:extLst>
        </c:ser>
        <c:ser>
          <c:idx val="8"/>
          <c:order val="4"/>
          <c:tx>
            <c:strRef>
              <c:f>'Metsä OBA'!$K$115</c:f>
              <c:strCache>
                <c:ptCount val="1"/>
                <c:pt idx="0">
                  <c:v>25% WBBC Matte @ 100°C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01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OBA'!$K$116:$K$122</c:f>
              <c:numCache>
                <c:formatCode>0.0000</c:formatCode>
                <c:ptCount val="7"/>
                <c:pt idx="0">
                  <c:v>0</c:v>
                </c:pt>
                <c:pt idx="1">
                  <c:v>0.11409355020193439</c:v>
                </c:pt>
                <c:pt idx="2">
                  <c:v>0.14714869091464433</c:v>
                </c:pt>
                <c:pt idx="3">
                  <c:v>0.16101052411674854</c:v>
                </c:pt>
                <c:pt idx="4">
                  <c:v>0.16740829328695045</c:v>
                </c:pt>
                <c:pt idx="5">
                  <c:v>0.17700494704225336</c:v>
                </c:pt>
                <c:pt idx="6">
                  <c:v>0.1828695687816051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17D-1146-93B9-426F2930081A}"/>
            </c:ext>
          </c:extLst>
        </c:ser>
        <c:ser>
          <c:idx val="9"/>
          <c:order val="5"/>
          <c:tx>
            <c:strRef>
              <c:f>'Metsä OBA'!$L$115</c:f>
              <c:strCache>
                <c:ptCount val="1"/>
                <c:pt idx="0">
                  <c:v>25% WBBC Gloss @ 100°C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OBA'!$L$116:$L$122</c:f>
              <c:numCache>
                <c:formatCode>0.0000</c:formatCode>
                <c:ptCount val="7"/>
                <c:pt idx="0">
                  <c:v>0</c:v>
                </c:pt>
                <c:pt idx="1">
                  <c:v>7.7597440257292441E-2</c:v>
                </c:pt>
                <c:pt idx="2">
                  <c:v>0.11267573516812328</c:v>
                </c:pt>
                <c:pt idx="3">
                  <c:v>0.13659275442550795</c:v>
                </c:pt>
                <c:pt idx="4">
                  <c:v>0.15625785914824647</c:v>
                </c:pt>
                <c:pt idx="5">
                  <c:v>0.17379700660366185</c:v>
                </c:pt>
                <c:pt idx="6">
                  <c:v>0.18814721815809257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17D-1146-93B9-426F2930081A}"/>
            </c:ext>
          </c:extLst>
        </c:ser>
        <c:ser>
          <c:idx val="2"/>
          <c:order val="6"/>
          <c:tx>
            <c:v>0% GO Matte @ 100°C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0.29200372353433141</c:v>
                </c:pt>
                <c:pt idx="2">
                  <c:v>0.38243771253936665</c:v>
                </c:pt>
                <c:pt idx="3">
                  <c:v>0.45761777568813106</c:v>
                </c:pt>
                <c:pt idx="4">
                  <c:v>0.51754391298062441</c:v>
                </c:pt>
                <c:pt idx="5">
                  <c:v>0.58836571159902551</c:v>
                </c:pt>
                <c:pt idx="6">
                  <c:v>0.64720228275892822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F-4544-88DB-79EA224EA33B}"/>
            </c:ext>
          </c:extLst>
        </c:ser>
        <c:ser>
          <c:idx val="3"/>
          <c:order val="7"/>
          <c:tx>
            <c:v>0% GO Gloss @ 100°C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OBA'!$F$116:$F$122</c:f>
              <c:numCache>
                <c:formatCode>0.0000</c:formatCode>
                <c:ptCount val="7"/>
                <c:pt idx="0">
                  <c:v>0</c:v>
                </c:pt>
                <c:pt idx="1">
                  <c:v>0.23140777322187731</c:v>
                </c:pt>
                <c:pt idx="2">
                  <c:v>0.30060866234325218</c:v>
                </c:pt>
                <c:pt idx="3">
                  <c:v>0.35873740920520708</c:v>
                </c:pt>
                <c:pt idx="4">
                  <c:v>0.41686615606716171</c:v>
                </c:pt>
                <c:pt idx="5">
                  <c:v>0.4821917953977396</c:v>
                </c:pt>
                <c:pt idx="6">
                  <c:v>0.57132254058607035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F-4544-88DB-79EA224EA33B}"/>
            </c:ext>
          </c:extLst>
        </c:ser>
        <c:ser>
          <c:idx val="6"/>
          <c:order val="8"/>
          <c:tx>
            <c:v>0.1% GO Matte @ 100°C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OBA'!$I$116:$I$122</c:f>
              <c:numCache>
                <c:formatCode>0.0000</c:formatCode>
                <c:ptCount val="7"/>
                <c:pt idx="0">
                  <c:v>0</c:v>
                </c:pt>
                <c:pt idx="1">
                  <c:v>0.36412873928235495</c:v>
                </c:pt>
                <c:pt idx="2">
                  <c:v>0.49393898470627623</c:v>
                </c:pt>
                <c:pt idx="3">
                  <c:v>0.58139588734357894</c:v>
                </c:pt>
                <c:pt idx="4">
                  <c:v>0.65510170466055129</c:v>
                </c:pt>
                <c:pt idx="5">
                  <c:v>0.69305470014466386</c:v>
                </c:pt>
                <c:pt idx="6">
                  <c:v>0.77721134230508759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EF-4544-88DB-79EA224EA33B}"/>
            </c:ext>
          </c:extLst>
        </c:ser>
        <c:ser>
          <c:idx val="7"/>
          <c:order val="9"/>
          <c:tx>
            <c:v>0.1% GO Gloss @ 100°C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OBA'!$J$116:$J$122</c:f>
              <c:numCache>
                <c:formatCode>0.0000</c:formatCode>
                <c:ptCount val="7"/>
                <c:pt idx="0">
                  <c:v>0</c:v>
                </c:pt>
                <c:pt idx="1">
                  <c:v>0.22551779925342239</c:v>
                </c:pt>
                <c:pt idx="2">
                  <c:v>0.29207305220382268</c:v>
                </c:pt>
                <c:pt idx="3">
                  <c:v>0.33937678570576013</c:v>
                </c:pt>
                <c:pt idx="4">
                  <c:v>0.39383108357426921</c:v>
                </c:pt>
                <c:pt idx="5">
                  <c:v>0.44663525120433883</c:v>
                </c:pt>
                <c:pt idx="6">
                  <c:v>0.51319050415473921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EF-4544-88DB-79EA224EA33B}"/>
            </c:ext>
          </c:extLst>
        </c:ser>
        <c:ser>
          <c:idx val="10"/>
          <c:order val="10"/>
          <c:tx>
            <c:v>0.1% Industrial GO + 25% WBBC Matte @ 100°C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OBA'!$M$116:$M$122</c:f>
              <c:numCache>
                <c:formatCode>0.0000</c:formatCode>
                <c:ptCount val="7"/>
                <c:pt idx="0">
                  <c:v>0</c:v>
                </c:pt>
                <c:pt idx="1">
                  <c:v>0.13084419206003151</c:v>
                </c:pt>
                <c:pt idx="2">
                  <c:v>0.15973895113995512</c:v>
                </c:pt>
                <c:pt idx="3">
                  <c:v>0.18045594821612679</c:v>
                </c:pt>
                <c:pt idx="4">
                  <c:v>0.20117294529229846</c:v>
                </c:pt>
                <c:pt idx="5">
                  <c:v>0.20716997076171659</c:v>
                </c:pt>
                <c:pt idx="6">
                  <c:v>0.21807365343338589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EF-4544-88DB-79EA224EA33B}"/>
            </c:ext>
          </c:extLst>
        </c:ser>
        <c:ser>
          <c:idx val="11"/>
          <c:order val="11"/>
          <c:tx>
            <c:v>0.1% Industrial GO + 25% WBBC Gloss @ 100°C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OBA'!$N$116:$N$122</c:f>
              <c:numCache>
                <c:formatCode>0.0000</c:formatCode>
                <c:ptCount val="7"/>
                <c:pt idx="0">
                  <c:v>0</c:v>
                </c:pt>
                <c:pt idx="1">
                  <c:v>7.4301850981692966E-2</c:v>
                </c:pt>
                <c:pt idx="2">
                  <c:v>0.11039132145851524</c:v>
                </c:pt>
                <c:pt idx="3">
                  <c:v>0.14011206185119243</c:v>
                </c:pt>
                <c:pt idx="4">
                  <c:v>0.16770989221582125</c:v>
                </c:pt>
                <c:pt idx="5">
                  <c:v>0.19053117501734124</c:v>
                </c:pt>
                <c:pt idx="6">
                  <c:v>0.21282173031184903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EF-4544-88DB-79EA224EA33B}"/>
            </c:ext>
          </c:extLst>
        </c:ser>
        <c:ser>
          <c:idx val="12"/>
          <c:order val="12"/>
          <c:tx>
            <c:strRef>
              <c:f>'Metsä OBA'!$O$115</c:f>
              <c:strCache>
                <c:ptCount val="1"/>
                <c:pt idx="0">
                  <c:v>0.1% GO + 25% WBBC Matte @ 100°C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OBA'!$O$116:$O$122</c:f>
              <c:numCache>
                <c:formatCode>0.0000</c:formatCode>
                <c:ptCount val="7"/>
                <c:pt idx="0">
                  <c:v>0</c:v>
                </c:pt>
                <c:pt idx="1">
                  <c:v>0.13760370726497886</c:v>
                </c:pt>
                <c:pt idx="2">
                  <c:v>0.17375840682087523</c:v>
                </c:pt>
                <c:pt idx="3">
                  <c:v>0.22718102258257292</c:v>
                </c:pt>
                <c:pt idx="4">
                  <c:v>0.25739987594272518</c:v>
                </c:pt>
                <c:pt idx="5">
                  <c:v>0.27682628167425155</c:v>
                </c:pt>
                <c:pt idx="6">
                  <c:v>0.28869797406573994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EF-4544-88DB-79EA224EA33B}"/>
            </c:ext>
          </c:extLst>
        </c:ser>
        <c:ser>
          <c:idx val="13"/>
          <c:order val="13"/>
          <c:tx>
            <c:strRef>
              <c:f>'Metsä OBA'!$P$115</c:f>
              <c:strCache>
                <c:ptCount val="1"/>
                <c:pt idx="0">
                  <c:v>0.1% GO + 25% WBBC Gloss @ 100°C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OBA'!$P$116:$P$122</c:f>
              <c:numCache>
                <c:formatCode>0.0000</c:formatCode>
                <c:ptCount val="7"/>
                <c:pt idx="0">
                  <c:v>0</c:v>
                </c:pt>
                <c:pt idx="1">
                  <c:v>0.10967045792874182</c:v>
                </c:pt>
                <c:pt idx="2">
                  <c:v>0.15439045048220934</c:v>
                </c:pt>
                <c:pt idx="3">
                  <c:v>0.18420377885118766</c:v>
                </c:pt>
                <c:pt idx="4">
                  <c:v>0.21241996462897073</c:v>
                </c:pt>
                <c:pt idx="5">
                  <c:v>0.2438304355891443</c:v>
                </c:pt>
                <c:pt idx="6">
                  <c:v>0.27843519173170839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EF-4544-88DB-79EA224EA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82895"/>
        <c:axId val="110910336"/>
      </c:scatterChart>
      <c:valAx>
        <c:axId val="182578289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910336"/>
        <c:crosses val="autoZero"/>
        <c:crossBetween val="midCat"/>
      </c:valAx>
      <c:valAx>
        <c:axId val="110910336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per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578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'Metsä OBA'!$D$115</c:f>
              <c:strCache>
                <c:ptCount val="1"/>
                <c:pt idx="0">
                  <c:v>Stock Matte       @ Room Temp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3.5000000000000003E-2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OBA'!$D$116:$D$122</c:f>
              <c:numCache>
                <c:formatCode>0.0000</c:formatCode>
                <c:ptCount val="7"/>
                <c:pt idx="0">
                  <c:v>0</c:v>
                </c:pt>
                <c:pt idx="1">
                  <c:v>0.22512763005056177</c:v>
                </c:pt>
                <c:pt idx="2">
                  <c:v>0.28772409304023022</c:v>
                </c:pt>
                <c:pt idx="3">
                  <c:v>0.34208417932073165</c:v>
                </c:pt>
                <c:pt idx="4">
                  <c:v>0.37777514506045468</c:v>
                </c:pt>
                <c:pt idx="5">
                  <c:v>0.41621156970323359</c:v>
                </c:pt>
                <c:pt idx="6">
                  <c:v>0.45025526010112343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0D-D144-8027-357FC06850AD}"/>
            </c:ext>
          </c:extLst>
        </c:ser>
        <c:ser>
          <c:idx val="4"/>
          <c:order val="1"/>
          <c:tx>
            <c:strRef>
              <c:f>'Metsä OBA'!$G$115</c:f>
              <c:strCache>
                <c:ptCount val="1"/>
                <c:pt idx="0">
                  <c:v>0.1% Industrial GO Matte @ 100°C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01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OBA'!$G$116:$G$122</c:f>
              <c:numCache>
                <c:formatCode>0.0000</c:formatCode>
                <c:ptCount val="7"/>
                <c:pt idx="0">
                  <c:v>0</c:v>
                </c:pt>
                <c:pt idx="1">
                  <c:v>0.35955682375496012</c:v>
                </c:pt>
                <c:pt idx="2">
                  <c:v>0.44617733129592779</c:v>
                </c:pt>
                <c:pt idx="3">
                  <c:v>0.52517087590875988</c:v>
                </c:pt>
                <c:pt idx="4">
                  <c:v>0.61887356331156762</c:v>
                </c:pt>
                <c:pt idx="5">
                  <c:v>0.59381354226197935</c:v>
                </c:pt>
                <c:pt idx="6">
                  <c:v>0.62922444157118007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0D-D144-8027-357FC06850AD}"/>
            </c:ext>
          </c:extLst>
        </c:ser>
        <c:ser>
          <c:idx val="8"/>
          <c:order val="2"/>
          <c:tx>
            <c:strRef>
              <c:f>'Metsä OBA'!$K$115</c:f>
              <c:strCache>
                <c:ptCount val="1"/>
                <c:pt idx="0">
                  <c:v>25% WBBC Matte @ 100°C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01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OBA'!$K$116:$K$122</c:f>
              <c:numCache>
                <c:formatCode>0.0000</c:formatCode>
                <c:ptCount val="7"/>
                <c:pt idx="0">
                  <c:v>0</c:v>
                </c:pt>
                <c:pt idx="1">
                  <c:v>0.11409355020193439</c:v>
                </c:pt>
                <c:pt idx="2">
                  <c:v>0.14714869091464433</c:v>
                </c:pt>
                <c:pt idx="3">
                  <c:v>0.16101052411674854</c:v>
                </c:pt>
                <c:pt idx="4">
                  <c:v>0.16740829328695045</c:v>
                </c:pt>
                <c:pt idx="5">
                  <c:v>0.17700494704225336</c:v>
                </c:pt>
                <c:pt idx="6">
                  <c:v>0.1828695687816051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0D-D144-8027-357FC06850AD}"/>
            </c:ext>
          </c:extLst>
        </c:ser>
        <c:ser>
          <c:idx val="2"/>
          <c:order val="3"/>
          <c:tx>
            <c:v>0% GO Matte @ 100°C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0.29200372353433141</c:v>
                </c:pt>
                <c:pt idx="2">
                  <c:v>0.38243771253936665</c:v>
                </c:pt>
                <c:pt idx="3">
                  <c:v>0.45761777568813106</c:v>
                </c:pt>
                <c:pt idx="4">
                  <c:v>0.51754391298062441</c:v>
                </c:pt>
                <c:pt idx="5">
                  <c:v>0.58836571159902551</c:v>
                </c:pt>
                <c:pt idx="6">
                  <c:v>0.64720228275892822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0D-D144-8027-357FC06850AD}"/>
            </c:ext>
          </c:extLst>
        </c:ser>
        <c:ser>
          <c:idx val="6"/>
          <c:order val="4"/>
          <c:tx>
            <c:v>0.1% GO Matte @ 100°C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OBA'!$I$116:$I$122</c:f>
              <c:numCache>
                <c:formatCode>0.0000</c:formatCode>
                <c:ptCount val="7"/>
                <c:pt idx="0">
                  <c:v>0</c:v>
                </c:pt>
                <c:pt idx="1">
                  <c:v>0.36412873928235495</c:v>
                </c:pt>
                <c:pt idx="2">
                  <c:v>0.49393898470627623</c:v>
                </c:pt>
                <c:pt idx="3">
                  <c:v>0.58139588734357894</c:v>
                </c:pt>
                <c:pt idx="4">
                  <c:v>0.65510170466055129</c:v>
                </c:pt>
                <c:pt idx="5">
                  <c:v>0.69305470014466386</c:v>
                </c:pt>
                <c:pt idx="6">
                  <c:v>0.77721134230508759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A0D-D144-8027-357FC06850AD}"/>
            </c:ext>
          </c:extLst>
        </c:ser>
        <c:ser>
          <c:idx val="10"/>
          <c:order val="5"/>
          <c:tx>
            <c:v>0.1% Industrial GO + 25% WBBC Matte @ 100°C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OBA'!$M$116:$M$122</c:f>
              <c:numCache>
                <c:formatCode>0.0000</c:formatCode>
                <c:ptCount val="7"/>
                <c:pt idx="0">
                  <c:v>0</c:v>
                </c:pt>
                <c:pt idx="1">
                  <c:v>0.13084419206003151</c:v>
                </c:pt>
                <c:pt idx="2">
                  <c:v>0.15973895113995512</c:v>
                </c:pt>
                <c:pt idx="3">
                  <c:v>0.18045594821612679</c:v>
                </c:pt>
                <c:pt idx="4">
                  <c:v>0.20117294529229846</c:v>
                </c:pt>
                <c:pt idx="5">
                  <c:v>0.20716997076171659</c:v>
                </c:pt>
                <c:pt idx="6">
                  <c:v>0.21807365343338589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A0D-D144-8027-357FC06850AD}"/>
            </c:ext>
          </c:extLst>
        </c:ser>
        <c:ser>
          <c:idx val="12"/>
          <c:order val="6"/>
          <c:tx>
            <c:strRef>
              <c:f>'Metsä OBA'!$O$115</c:f>
              <c:strCache>
                <c:ptCount val="1"/>
                <c:pt idx="0">
                  <c:v>0.1% GO + 25% WBBC Matte @ 100°C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OBA'!$O$116:$O$122</c:f>
              <c:numCache>
                <c:formatCode>0.0000</c:formatCode>
                <c:ptCount val="7"/>
                <c:pt idx="0">
                  <c:v>0</c:v>
                </c:pt>
                <c:pt idx="1">
                  <c:v>0.13760370726497886</c:v>
                </c:pt>
                <c:pt idx="2">
                  <c:v>0.17375840682087523</c:v>
                </c:pt>
                <c:pt idx="3">
                  <c:v>0.22718102258257292</c:v>
                </c:pt>
                <c:pt idx="4">
                  <c:v>0.25739987594272518</c:v>
                </c:pt>
                <c:pt idx="5">
                  <c:v>0.27682628167425155</c:v>
                </c:pt>
                <c:pt idx="6">
                  <c:v>0.28869797406573994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A0D-D144-8027-357FC0685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82895"/>
        <c:axId val="110910336"/>
      </c:scatterChart>
      <c:valAx>
        <c:axId val="182578289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910336"/>
        <c:crosses val="autoZero"/>
        <c:crossBetween val="midCat"/>
      </c:valAx>
      <c:valAx>
        <c:axId val="110910336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per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578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74838803932514"/>
          <c:y val="0.29648786632679947"/>
          <c:w val="0.30764846691277836"/>
          <c:h val="0.511101563448290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'Metsä OBA'!$C$115</c:f>
              <c:strCache>
                <c:ptCount val="1"/>
                <c:pt idx="0">
                  <c:v>Stock Gloss       @ Room Temp</c:v>
                </c:pt>
              </c:strCache>
            </c:strRef>
          </c:tx>
          <c:spPr>
            <a:ln w="63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02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0.24329197339446332</c:v>
                </c:pt>
                <c:pt idx="2">
                  <c:v>0.31059723587547144</c:v>
                </c:pt>
                <c:pt idx="3">
                  <c:v>0.37073062612489649</c:v>
                </c:pt>
                <c:pt idx="4">
                  <c:v>0.4330707462917317</c:v>
                </c:pt>
                <c:pt idx="5">
                  <c:v>0.51637480067396302</c:v>
                </c:pt>
                <c:pt idx="6">
                  <c:v>0.61181586960194978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68-0048-8B63-7B0E3B95CF44}"/>
            </c:ext>
          </c:extLst>
        </c:ser>
        <c:ser>
          <c:idx val="5"/>
          <c:order val="1"/>
          <c:tx>
            <c:strRef>
              <c:f>'Metsä OBA'!$H$115</c:f>
              <c:strCache>
                <c:ptCount val="1"/>
                <c:pt idx="0">
                  <c:v>0.1% Industrial GO Gloss @ 100°C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01"/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OBA'!$H$116:$H$122</c:f>
              <c:numCache>
                <c:formatCode>0.0000</c:formatCode>
                <c:ptCount val="7"/>
                <c:pt idx="0">
                  <c:v>0</c:v>
                </c:pt>
                <c:pt idx="1">
                  <c:v>0.22005114031633857</c:v>
                </c:pt>
                <c:pt idx="2">
                  <c:v>0.2780459268296166</c:v>
                </c:pt>
                <c:pt idx="3">
                  <c:v>0.32520953571984745</c:v>
                </c:pt>
                <c:pt idx="4">
                  <c:v>0.37182473055321497</c:v>
                </c:pt>
                <c:pt idx="5">
                  <c:v>0.42173040972776155</c:v>
                </c:pt>
                <c:pt idx="6">
                  <c:v>0.47986229975525529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68-0048-8B63-7B0E3B95CF44}"/>
            </c:ext>
          </c:extLst>
        </c:ser>
        <c:ser>
          <c:idx val="9"/>
          <c:order val="2"/>
          <c:tx>
            <c:strRef>
              <c:f>'Metsä OBA'!$L$115</c:f>
              <c:strCache>
                <c:ptCount val="1"/>
                <c:pt idx="0">
                  <c:v>25% WBBC Gloss @ 100°C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OBA'!$L$116:$L$122</c:f>
              <c:numCache>
                <c:formatCode>0.0000</c:formatCode>
                <c:ptCount val="7"/>
                <c:pt idx="0">
                  <c:v>0</c:v>
                </c:pt>
                <c:pt idx="1">
                  <c:v>7.7597440257292441E-2</c:v>
                </c:pt>
                <c:pt idx="2">
                  <c:v>0.11267573516812328</c:v>
                </c:pt>
                <c:pt idx="3">
                  <c:v>0.13659275442550795</c:v>
                </c:pt>
                <c:pt idx="4">
                  <c:v>0.15625785914824647</c:v>
                </c:pt>
                <c:pt idx="5">
                  <c:v>0.17379700660366185</c:v>
                </c:pt>
                <c:pt idx="6">
                  <c:v>0.18814721815809257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68-0048-8B63-7B0E3B95CF44}"/>
            </c:ext>
          </c:extLst>
        </c:ser>
        <c:ser>
          <c:idx val="3"/>
          <c:order val="3"/>
          <c:tx>
            <c:v>0% GO Gloss @ 100°C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OBA'!$F$116:$F$122</c:f>
              <c:numCache>
                <c:formatCode>0.0000</c:formatCode>
                <c:ptCount val="7"/>
                <c:pt idx="0">
                  <c:v>0</c:v>
                </c:pt>
                <c:pt idx="1">
                  <c:v>0.23140777322187731</c:v>
                </c:pt>
                <c:pt idx="2">
                  <c:v>0.30060866234325218</c:v>
                </c:pt>
                <c:pt idx="3">
                  <c:v>0.35873740920520708</c:v>
                </c:pt>
                <c:pt idx="4">
                  <c:v>0.41686615606716171</c:v>
                </c:pt>
                <c:pt idx="5">
                  <c:v>0.4821917953977396</c:v>
                </c:pt>
                <c:pt idx="6">
                  <c:v>0.57132254058607035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68-0048-8B63-7B0E3B95CF44}"/>
            </c:ext>
          </c:extLst>
        </c:ser>
        <c:ser>
          <c:idx val="7"/>
          <c:order val="4"/>
          <c:tx>
            <c:v>0.1% GO Gloss @ 100°C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OBA'!$J$116:$J$122</c:f>
              <c:numCache>
                <c:formatCode>0.0000</c:formatCode>
                <c:ptCount val="7"/>
                <c:pt idx="0">
                  <c:v>0</c:v>
                </c:pt>
                <c:pt idx="1">
                  <c:v>0.22551779925342239</c:v>
                </c:pt>
                <c:pt idx="2">
                  <c:v>0.29207305220382268</c:v>
                </c:pt>
                <c:pt idx="3">
                  <c:v>0.33937678570576013</c:v>
                </c:pt>
                <c:pt idx="4">
                  <c:v>0.39383108357426921</c:v>
                </c:pt>
                <c:pt idx="5">
                  <c:v>0.44663525120433883</c:v>
                </c:pt>
                <c:pt idx="6">
                  <c:v>0.51319050415473921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68-0048-8B63-7B0E3B95CF44}"/>
            </c:ext>
          </c:extLst>
        </c:ser>
        <c:ser>
          <c:idx val="11"/>
          <c:order val="5"/>
          <c:tx>
            <c:v>0.1% Industrial GO + 25% WBBC Gloss @ 100°C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OBA'!$N$116:$N$122</c:f>
              <c:numCache>
                <c:formatCode>0.0000</c:formatCode>
                <c:ptCount val="7"/>
                <c:pt idx="0">
                  <c:v>0</c:v>
                </c:pt>
                <c:pt idx="1">
                  <c:v>7.4301850981692966E-2</c:v>
                </c:pt>
                <c:pt idx="2">
                  <c:v>0.11039132145851524</c:v>
                </c:pt>
                <c:pt idx="3">
                  <c:v>0.14011206185119243</c:v>
                </c:pt>
                <c:pt idx="4">
                  <c:v>0.16770989221582125</c:v>
                </c:pt>
                <c:pt idx="5">
                  <c:v>0.19053117501734124</c:v>
                </c:pt>
                <c:pt idx="6">
                  <c:v>0.21282173031184903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668-0048-8B63-7B0E3B95CF44}"/>
            </c:ext>
          </c:extLst>
        </c:ser>
        <c:ser>
          <c:idx val="13"/>
          <c:order val="6"/>
          <c:tx>
            <c:strRef>
              <c:f>'Metsä OBA'!$P$115</c:f>
              <c:strCache>
                <c:ptCount val="1"/>
                <c:pt idx="0">
                  <c:v>0.1% GO + 25% WBBC Gloss @ 100°C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'Metsä OBA'!$B$116:$B$122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OBA'!$P$116:$P$122</c:f>
              <c:numCache>
                <c:formatCode>0.0000</c:formatCode>
                <c:ptCount val="7"/>
                <c:pt idx="0">
                  <c:v>0</c:v>
                </c:pt>
                <c:pt idx="1">
                  <c:v>0.10967045792874182</c:v>
                </c:pt>
                <c:pt idx="2">
                  <c:v>0.15439045048220934</c:v>
                </c:pt>
                <c:pt idx="3">
                  <c:v>0.18420377885118766</c:v>
                </c:pt>
                <c:pt idx="4">
                  <c:v>0.21241996462897073</c:v>
                </c:pt>
                <c:pt idx="5">
                  <c:v>0.2438304355891443</c:v>
                </c:pt>
                <c:pt idx="6">
                  <c:v>0.27843519173170839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668-0048-8B63-7B0E3B95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82895"/>
        <c:axId val="110910336"/>
      </c:scatterChart>
      <c:valAx>
        <c:axId val="182578289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910336"/>
        <c:crosses val="autoZero"/>
        <c:crossBetween val="midCat"/>
      </c:valAx>
      <c:valAx>
        <c:axId val="110910336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per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578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'[1]Metsä OBA Free'!$D$115</c:f>
              <c:strCache>
                <c:ptCount val="1"/>
                <c:pt idx="0">
                  <c:v>Stock Matte       @ Room Temp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'[1]Metsä OBA Free'!$B$116:$B$122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'[1]Metsä OBA Free'!$D$116:$D$122</c:f>
              <c:numCache>
                <c:formatCode>General</c:formatCode>
                <c:ptCount val="7"/>
                <c:pt idx="0">
                  <c:v>0</c:v>
                </c:pt>
                <c:pt idx="1">
                  <c:v>0.21425736449830174</c:v>
                </c:pt>
                <c:pt idx="2">
                  <c:v>0.26659504132231437</c:v>
                </c:pt>
                <c:pt idx="3">
                  <c:v>0.30693866720749075</c:v>
                </c:pt>
                <c:pt idx="4">
                  <c:v>0.33528824215383091</c:v>
                </c:pt>
                <c:pt idx="5">
                  <c:v>0.36036671229867001</c:v>
                </c:pt>
                <c:pt idx="6">
                  <c:v>0.3750866839054236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F6-A342-A9E3-D5E0ADBE2595}"/>
            </c:ext>
          </c:extLst>
        </c:ser>
        <c:ser>
          <c:idx val="6"/>
          <c:order val="1"/>
          <c:tx>
            <c:strRef>
              <c:f>'[1]Metsä OBA Free'!$K$115</c:f>
              <c:strCache>
                <c:ptCount val="1"/>
                <c:pt idx="0">
                  <c:v>25% WBBC         Matte @ 100°C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'[1]Metsä OBA Free'!$B$116:$B$122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'[1]Metsä OBA Free'!$K$116:$K$122</c:f>
              <c:numCache>
                <c:formatCode>General</c:formatCode>
                <c:ptCount val="7"/>
                <c:pt idx="0">
                  <c:v>0</c:v>
                </c:pt>
                <c:pt idx="1">
                  <c:v>0.19207135541953479</c:v>
                </c:pt>
                <c:pt idx="2">
                  <c:v>0.24755863587406715</c:v>
                </c:pt>
                <c:pt idx="3">
                  <c:v>0.28330524924381356</c:v>
                </c:pt>
                <c:pt idx="4">
                  <c:v>0.30571357404275934</c:v>
                </c:pt>
                <c:pt idx="5">
                  <c:v>0.32438717804188066</c:v>
                </c:pt>
                <c:pt idx="6">
                  <c:v>0.33719193506984979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F6-A342-A9E3-D5E0ADBE2595}"/>
            </c:ext>
          </c:extLst>
        </c:ser>
        <c:ser>
          <c:idx val="17"/>
          <c:order val="2"/>
          <c:tx>
            <c:strRef>
              <c:f>'[1]Metsä OBA Free'!$V$115</c:f>
              <c:strCache>
                <c:ptCount val="1"/>
                <c:pt idx="0">
                  <c:v>0.10% GO            Matte @ 100°C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'[1]Metsä OBA Free'!$B$116:$B$122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'[1]Metsä OBA Free'!$V$116:$V$122</c:f>
              <c:numCache>
                <c:formatCode>General</c:formatCode>
                <c:ptCount val="7"/>
                <c:pt idx="0">
                  <c:v>0</c:v>
                </c:pt>
                <c:pt idx="1">
                  <c:v>0.2813653397052705</c:v>
                </c:pt>
                <c:pt idx="2">
                  <c:v>0.35986018889613181</c:v>
                </c:pt>
                <c:pt idx="3">
                  <c:v>0.40850488416934139</c:v>
                </c:pt>
                <c:pt idx="4">
                  <c:v>0.43503835431836491</c:v>
                </c:pt>
                <c:pt idx="5">
                  <c:v>0.46599406949222572</c:v>
                </c:pt>
                <c:pt idx="6">
                  <c:v>0.48534139147588878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F6-A342-A9E3-D5E0ADBE2595}"/>
            </c:ext>
          </c:extLst>
        </c:ser>
        <c:ser>
          <c:idx val="25"/>
          <c:order val="3"/>
          <c:tx>
            <c:strRef>
              <c:f>'[1]Metsä OBA Free'!$AD$115</c:f>
              <c:strCache>
                <c:ptCount val="1"/>
                <c:pt idx="0">
                  <c:v>0.1% GO / 25% WBBC mix Matte @ 100°C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tar"/>
            <c:size val="9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'[1]Metsä OBA Free'!$B$116:$B$122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'[1]Metsä OBA Free'!$AD$116:$AD$122</c:f>
              <c:numCache>
                <c:formatCode>General</c:formatCode>
                <c:ptCount val="7"/>
                <c:pt idx="0">
                  <c:v>0</c:v>
                </c:pt>
                <c:pt idx="1">
                  <c:v>0.14320955261761206</c:v>
                </c:pt>
                <c:pt idx="2">
                  <c:v>0.1812914935758535</c:v>
                </c:pt>
                <c:pt idx="3">
                  <c:v>0.20542793502826009</c:v>
                </c:pt>
                <c:pt idx="4">
                  <c:v>0.22366435745896723</c:v>
                </c:pt>
                <c:pt idx="5">
                  <c:v>0.23975531842723821</c:v>
                </c:pt>
                <c:pt idx="6">
                  <c:v>0.25530991402990022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AF6-A342-A9E3-D5E0ADBE2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65501227153237"/>
          <c:y val="2.5278576427428371E-2"/>
          <c:w val="0.28440789298544478"/>
          <c:h val="0.91573070871055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 Matte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19035879747481E-2"/>
          <c:y val="2.6369613572437896E-2"/>
          <c:w val="0.84508578924960198"/>
          <c:h val="0.86219678430218827"/>
        </c:manualLayout>
      </c:layout>
      <c:scatterChart>
        <c:scatterStyle val="lineMarker"/>
        <c:varyColors val="0"/>
        <c:ser>
          <c:idx val="0"/>
          <c:order val="0"/>
          <c:tx>
            <c:v>Stock (Dry)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'[2]Metsä OBA Free'!$B$94:$B$100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'[2]Metsä OBA Free'!$C$94:$C$100</c:f>
              <c:numCache>
                <c:formatCode>General</c:formatCode>
                <c:ptCount val="7"/>
                <c:pt idx="0">
                  <c:v>0</c:v>
                </c:pt>
                <c:pt idx="1">
                  <c:v>54.132231404958731</c:v>
                </c:pt>
                <c:pt idx="2">
                  <c:v>67.355371900826512</c:v>
                </c:pt>
                <c:pt idx="3">
                  <c:v>77.548209366391262</c:v>
                </c:pt>
                <c:pt idx="4">
                  <c:v>84.710743801652953</c:v>
                </c:pt>
                <c:pt idx="5">
                  <c:v>91.046831955922855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E-CF48-9D52-4B6030AE1E16}"/>
            </c:ext>
          </c:extLst>
        </c:ser>
        <c:ser>
          <c:idx val="1"/>
          <c:order val="1"/>
          <c:tx>
            <c:v>Stock (DI Water 100°C)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  <a:lumOff val="40000"/>
                </a:schemeClr>
              </a:solidFill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'[2]Metsä OBA Free'!$B$94:$B$100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'[2]Metsä OBA Free'!$D$94:$D$100</c:f>
              <c:numCache>
                <c:formatCode>General</c:formatCode>
                <c:ptCount val="7"/>
                <c:pt idx="0">
                  <c:v>0</c:v>
                </c:pt>
                <c:pt idx="1">
                  <c:v>85.39944903581268</c:v>
                </c:pt>
                <c:pt idx="2">
                  <c:v>107.02479338842977</c:v>
                </c:pt>
                <c:pt idx="3">
                  <c:v>118.87052341597796</c:v>
                </c:pt>
                <c:pt idx="4">
                  <c:v>127.68595041322314</c:v>
                </c:pt>
                <c:pt idx="5">
                  <c:v>133.7465564738292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E-CF48-9D52-4B6030AE1E16}"/>
            </c:ext>
          </c:extLst>
        </c:ser>
        <c:ser>
          <c:idx val="2"/>
          <c:order val="2"/>
          <c:tx>
            <c:v>0.1% GO 100°C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'[2]Metsä OBA Free'!$B$94:$B$100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'[2]Metsä OBA Free'!$E$94:$E$100</c:f>
              <c:numCache>
                <c:formatCode>General</c:formatCode>
                <c:ptCount val="7"/>
                <c:pt idx="0">
                  <c:v>0</c:v>
                </c:pt>
                <c:pt idx="1">
                  <c:v>70.110192837465561</c:v>
                </c:pt>
                <c:pt idx="2">
                  <c:v>89.669421487603302</c:v>
                </c:pt>
                <c:pt idx="3">
                  <c:v>101.79063360881537</c:v>
                </c:pt>
                <c:pt idx="4">
                  <c:v>108.40220385674925</c:v>
                </c:pt>
                <c:pt idx="5">
                  <c:v>116.11570247933878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0E-CF48-9D52-4B6030AE1E16}"/>
            </c:ext>
          </c:extLst>
        </c:ser>
        <c:ser>
          <c:idx val="3"/>
          <c:order val="3"/>
          <c:tx>
            <c:v>0.1% GO / 25% WBBC mix 100°C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'[2]Metsä OBA Free'!$B$94:$B$100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'[2]Metsä OBA Free'!$F$94:$F$100</c:f>
              <c:numCache>
                <c:formatCode>General</c:formatCode>
                <c:ptCount val="7"/>
                <c:pt idx="0">
                  <c:v>0</c:v>
                </c:pt>
                <c:pt idx="1">
                  <c:v>36.776859504132261</c:v>
                </c:pt>
                <c:pt idx="2">
                  <c:v>46.556473829201138</c:v>
                </c:pt>
                <c:pt idx="3">
                  <c:v>52.754820936639177</c:v>
                </c:pt>
                <c:pt idx="4">
                  <c:v>57.438016528925672</c:v>
                </c:pt>
                <c:pt idx="5">
                  <c:v>61.570247933884353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0E-CF48-9D52-4B6030AE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  <c:minorUnit val="1"/>
      </c:valAx>
      <c:valAx>
        <c:axId val="9409920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area (gm/cm2)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85401784130407"/>
          <c:y val="0.67607679869720483"/>
          <c:w val="0.24924105813772326"/>
          <c:h val="0.196620875218521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'[1]Metsä OBA Free'!$C$115</c:f>
              <c:strCache>
                <c:ptCount val="1"/>
                <c:pt idx="0">
                  <c:v>Stock Gloss       @ Room Temp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'[1]Metsä OBA Free'!$B$116:$B$122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'[1]Metsä OBA Free'!$C$116:$C$122</c:f>
              <c:numCache>
                <c:formatCode>General</c:formatCode>
                <c:ptCount val="7"/>
                <c:pt idx="0">
                  <c:v>0</c:v>
                </c:pt>
                <c:pt idx="1">
                  <c:v>0.27407171778344652</c:v>
                </c:pt>
                <c:pt idx="2">
                  <c:v>0.34039707348704046</c:v>
                </c:pt>
                <c:pt idx="3">
                  <c:v>0.37493010992775461</c:v>
                </c:pt>
                <c:pt idx="4">
                  <c:v>0.39685584735043034</c:v>
                </c:pt>
                <c:pt idx="5">
                  <c:v>0.41768529790197234</c:v>
                </c:pt>
                <c:pt idx="6">
                  <c:v>0.43303331409784535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DB-F54B-A1BC-1F3236F4C48B}"/>
            </c:ext>
          </c:extLst>
        </c:ser>
        <c:ser>
          <c:idx val="2"/>
          <c:order val="1"/>
          <c:tx>
            <c:strRef>
              <c:f>'[1]Metsä OBA Free'!$G$115</c:f>
              <c:strCache>
                <c:ptCount val="1"/>
                <c:pt idx="0">
                  <c:v>25% WBBC Gloss @ 100°C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'[1]Metsä OBA Free'!$B$116:$B$122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'[1]Metsä OBA Free'!$G$116:$G$122</c:f>
              <c:numCache>
                <c:formatCode>General</c:formatCode>
                <c:ptCount val="7"/>
                <c:pt idx="0">
                  <c:v>0</c:v>
                </c:pt>
                <c:pt idx="1">
                  <c:v>0.16340254602885798</c:v>
                </c:pt>
                <c:pt idx="2">
                  <c:v>0.23861100264478929</c:v>
                </c:pt>
                <c:pt idx="3">
                  <c:v>0.29001246579956252</c:v>
                </c:pt>
                <c:pt idx="4">
                  <c:v>0.33005150025696467</c:v>
                </c:pt>
                <c:pt idx="5">
                  <c:v>0.36576199044870167</c:v>
                </c:pt>
                <c:pt idx="6">
                  <c:v>0.39660286834156566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DB-F54B-A1BC-1F3236F4C48B}"/>
            </c:ext>
          </c:extLst>
        </c:ser>
        <c:ser>
          <c:idx val="12"/>
          <c:order val="2"/>
          <c:tx>
            <c:strRef>
              <c:f>'[1]Metsä OBA Free'!$Q$115</c:f>
              <c:strCache>
                <c:ptCount val="1"/>
                <c:pt idx="0">
                  <c:v>0.10% GO            Gloss @ 100°C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9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'[1]Metsä OBA Free'!$B$116:$B$122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'[1]Metsä OBA Free'!$Q$116:$Q$122</c:f>
              <c:numCache>
                <c:formatCode>General</c:formatCode>
                <c:ptCount val="7"/>
                <c:pt idx="0">
                  <c:v>0</c:v>
                </c:pt>
                <c:pt idx="1">
                  <c:v>0.21773036417221403</c:v>
                </c:pt>
                <c:pt idx="2">
                  <c:v>0.30304964173588067</c:v>
                </c:pt>
                <c:pt idx="3">
                  <c:v>0.34016906768890437</c:v>
                </c:pt>
                <c:pt idx="4">
                  <c:v>0.3695321956815949</c:v>
                </c:pt>
                <c:pt idx="5">
                  <c:v>0.38781489801666613</c:v>
                </c:pt>
                <c:pt idx="6">
                  <c:v>0.40388151522021382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DB-F54B-A1BC-1F3236F4C48B}"/>
            </c:ext>
          </c:extLst>
        </c:ser>
        <c:ser>
          <c:idx val="24"/>
          <c:order val="3"/>
          <c:tx>
            <c:strRef>
              <c:f>'[1]Metsä OBA Free'!$AC$115</c:f>
              <c:strCache>
                <c:ptCount val="1"/>
                <c:pt idx="0">
                  <c:v>0.1% GO / 25% WBBC mix Gloss @ 100°C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tar"/>
            <c:size val="9"/>
            <c:spPr>
              <a:noFill/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'[1]Metsä OBA Free'!$B$116:$B$122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'[1]Metsä OBA Free'!$AC$116:$AC$122</c:f>
              <c:numCache>
                <c:formatCode>General</c:formatCode>
                <c:ptCount val="7"/>
                <c:pt idx="0">
                  <c:v>0</c:v>
                </c:pt>
                <c:pt idx="1">
                  <c:v>0.1475736690833509</c:v>
                </c:pt>
                <c:pt idx="2">
                  <c:v>0.20585457462713802</c:v>
                </c:pt>
                <c:pt idx="3">
                  <c:v>0.24167861748432823</c:v>
                </c:pt>
                <c:pt idx="4">
                  <c:v>0.26841297782551493</c:v>
                </c:pt>
                <c:pt idx="5">
                  <c:v>0.29461265095987793</c:v>
                </c:pt>
                <c:pt idx="6">
                  <c:v>0.31920826247376971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DB-F54B-A1BC-1F3236F4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65501227153237"/>
          <c:y val="2.5278576427428371E-2"/>
          <c:w val="0.28440789298544478"/>
          <c:h val="0.91573070871055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281790</xdr:colOff>
      <xdr:row>123</xdr:row>
      <xdr:rowOff>162915</xdr:rowOff>
    </xdr:from>
    <xdr:to>
      <xdr:col>8</xdr:col>
      <xdr:colOff>1159661</xdr:colOff>
      <xdr:row>150</xdr:row>
      <xdr:rowOff>123176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F2EDE-AAE1-1AC0-4EDC-6AD8196B2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191182</xdr:colOff>
      <xdr:row>123</xdr:row>
      <xdr:rowOff>177527</xdr:rowOff>
    </xdr:from>
    <xdr:to>
      <xdr:col>16</xdr:col>
      <xdr:colOff>327742</xdr:colOff>
      <xdr:row>150</xdr:row>
      <xdr:rowOff>95591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891C4-A7DE-A945-ABC6-2FA5E8EB2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482600</xdr:colOff>
      <xdr:row>152</xdr:row>
      <xdr:rowOff>25400</xdr:rowOff>
    </xdr:from>
    <xdr:to>
      <xdr:col>13</xdr:col>
      <xdr:colOff>407971</xdr:colOff>
      <xdr:row>178</xdr:row>
      <xdr:rowOff>188861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C0090A-C5DD-DA43-A8D2-65C3A96DA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698500</xdr:colOff>
      <xdr:row>123</xdr:row>
      <xdr:rowOff>169334</xdr:rowOff>
    </xdr:from>
    <xdr:to>
      <xdr:col>27</xdr:col>
      <xdr:colOff>179103</xdr:colOff>
      <xdr:row>150</xdr:row>
      <xdr:rowOff>105834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51AA29-A3B9-E742-BA04-4139EEC14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660400</xdr:colOff>
      <xdr:row>124</xdr:row>
      <xdr:rowOff>25400</xdr:rowOff>
    </xdr:from>
    <xdr:to>
      <xdr:col>40</xdr:col>
      <xdr:colOff>214309</xdr:colOff>
      <xdr:row>151</xdr:row>
      <xdr:rowOff>83081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CB0B4B-EAC3-A244-A553-83D33CEDD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1113209</xdr:colOff>
      <xdr:row>152</xdr:row>
      <xdr:rowOff>62716</xdr:rowOff>
    </xdr:from>
    <xdr:to>
      <xdr:col>22</xdr:col>
      <xdr:colOff>694158</xdr:colOff>
      <xdr:row>179</xdr:row>
      <xdr:rowOff>43118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E39D11-4DF1-9B40-AA08-680F118A0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uwildcat-my.sharepoint.com/personal/stn424_ads_northwestern_edu/Documents/Collaborations/Proposals/GO-Barrier,%20TFMI%20Proposals%20with%20Tim%20Wei/URAP_2023-10/Paper-coating%20share%20with%20students/Lanning,%20Mackenzie/Mean%20Water%20Absorption%20Measurements%20(2023-08-22).xlsx" TargetMode="External"/><Relationship Id="rId2" Type="http://schemas.microsoft.com/office/2019/04/relationships/externalLinkLongPath" Target="/personal/stn424_ads_northwestern_edu/Documents/Collaborations/Proposals/GO-Barrier,%20TFMI%20Proposals%20with%20Tim%20Wei/URAP_2023-10/Paper-coating%20share%20with%20students/Lanning,%20Mackenzie/Mean%20Water%20Absorption%20Measurements%20(2023-08-22).xlsx?5F70C1EC" TargetMode="External"/><Relationship Id="rId1" Type="http://schemas.openxmlformats.org/officeDocument/2006/relationships/externalLinkPath" Target="file:///5F70C1EC/Mean%20Water%20Absorption%20Measurements%20(2023-08-22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uwildcat-my.sharepoint.com/personal/stn424_ads_northwestern_edu/Documents/Collaborations/Proposals/GO-Barrier,%20TFMI%20Proposals%20with%20Tim%20Wei/URAP_2023-10/Paper-coating%20share%20with%20students/Lanning,%20Mackenzie/2024-01-16%20Water%20Absorption%20Benchmarking.xlsx" TargetMode="External"/><Relationship Id="rId2" Type="http://schemas.microsoft.com/office/2019/04/relationships/externalLinkLongPath" Target="/personal/stn424_ads_northwestern_edu/Documents/Collaborations/Proposals/GO-Barrier,%20TFMI%20Proposals%20with%20Tim%20Wei/URAP_2023-10/Paper-coating%20share%20with%20students/Lanning,%20Mackenzie/2024-01-16%20Water%20Absorption%20Benchmarking.xlsx?5F70C1EC" TargetMode="External"/><Relationship Id="rId1" Type="http://schemas.openxmlformats.org/officeDocument/2006/relationships/externalLinkPath" Target="file:///5F70C1EC/2024-01-16%20Water%20Absorption%20Benchma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etsä EB"/>
      <sheetName val="Metsä OBA Free"/>
      <sheetName val="Metsä OBA Free (select copy)"/>
      <sheetName val="HelloFresh"/>
      <sheetName val="Oil - HelloFresh"/>
      <sheetName val="Blank"/>
      <sheetName val="HelloFresh - Concentration"/>
      <sheetName val="Metsä OBA Free Concentration"/>
    </sheetNames>
    <sheetDataSet>
      <sheetData sheetId="0"/>
      <sheetData sheetId="1">
        <row r="115">
          <cell r="C115" t="str">
            <v>Stock Gloss       @ Room Temp</v>
          </cell>
          <cell r="D115" t="str">
            <v>Stock Matte       @ Room Temp</v>
          </cell>
          <cell r="G115" t="str">
            <v>25% WBBC Gloss @ 100°C</v>
          </cell>
          <cell r="K115" t="str">
            <v>25% WBBC         Matte @ 100°C</v>
          </cell>
          <cell r="Q115" t="str">
            <v>0.10% GO            Gloss @ 100°C</v>
          </cell>
          <cell r="V115" t="str">
            <v>0.10% GO            Matte @ 100°C</v>
          </cell>
          <cell r="AC115" t="str">
            <v>0.1% GO / 25% WBBC mix Gloss @ 100°C</v>
          </cell>
          <cell r="AD115" t="str">
            <v>0.1% GO / 25% WBBC mix Matte @ 100°C</v>
          </cell>
        </row>
        <row r="116">
          <cell r="B116">
            <v>0</v>
          </cell>
          <cell r="C116">
            <v>0</v>
          </cell>
          <cell r="D116">
            <v>0</v>
          </cell>
          <cell r="G116">
            <v>0</v>
          </cell>
          <cell r="K116">
            <v>0</v>
          </cell>
          <cell r="Q116">
            <v>0</v>
          </cell>
          <cell r="V116">
            <v>0</v>
          </cell>
          <cell r="AC116">
            <v>0</v>
          </cell>
          <cell r="AD116">
            <v>0</v>
          </cell>
        </row>
        <row r="117">
          <cell r="B117">
            <v>10</v>
          </cell>
          <cell r="C117">
            <v>0.27407171778344652</v>
          </cell>
          <cell r="D117">
            <v>0.21425736449830174</v>
          </cell>
          <cell r="G117">
            <v>0.16340254602885798</v>
          </cell>
          <cell r="K117">
            <v>0.19207135541953479</v>
          </cell>
          <cell r="Q117">
            <v>0.21773036417221403</v>
          </cell>
          <cell r="V117">
            <v>0.2813653397052705</v>
          </cell>
          <cell r="AC117">
            <v>0.1475736690833509</v>
          </cell>
          <cell r="AD117">
            <v>0.14320955261761206</v>
          </cell>
        </row>
        <row r="118">
          <cell r="B118">
            <v>20</v>
          </cell>
          <cell r="C118">
            <v>0.34039707348704046</v>
          </cell>
          <cell r="D118">
            <v>0.26659504132231437</v>
          </cell>
          <cell r="G118">
            <v>0.23861100264478929</v>
          </cell>
          <cell r="K118">
            <v>0.24755863587406715</v>
          </cell>
          <cell r="Q118">
            <v>0.30304964173588067</v>
          </cell>
          <cell r="V118">
            <v>0.35986018889613181</v>
          </cell>
          <cell r="AC118">
            <v>0.20585457462713802</v>
          </cell>
          <cell r="AD118">
            <v>0.1812914935758535</v>
          </cell>
        </row>
        <row r="119">
          <cell r="B119">
            <v>30</v>
          </cell>
          <cell r="C119">
            <v>0.37493010992775461</v>
          </cell>
          <cell r="D119">
            <v>0.30693866720749075</v>
          </cell>
          <cell r="G119">
            <v>0.29001246579956252</v>
          </cell>
          <cell r="K119">
            <v>0.28330524924381356</v>
          </cell>
          <cell r="Q119">
            <v>0.34016906768890437</v>
          </cell>
          <cell r="V119">
            <v>0.40850488416934139</v>
          </cell>
          <cell r="AC119">
            <v>0.24167861748432823</v>
          </cell>
          <cell r="AD119">
            <v>0.20542793502826009</v>
          </cell>
        </row>
        <row r="120">
          <cell r="B120">
            <v>40</v>
          </cell>
          <cell r="C120">
            <v>0.39685584735043034</v>
          </cell>
          <cell r="D120">
            <v>0.33528824215383091</v>
          </cell>
          <cell r="G120">
            <v>0.33005150025696467</v>
          </cell>
          <cell r="K120">
            <v>0.30571357404275934</v>
          </cell>
          <cell r="Q120">
            <v>0.3695321956815949</v>
          </cell>
          <cell r="V120">
            <v>0.43503835431836491</v>
          </cell>
          <cell r="AC120">
            <v>0.26841297782551493</v>
          </cell>
          <cell r="AD120">
            <v>0.22366435745896723</v>
          </cell>
        </row>
        <row r="121">
          <cell r="B121">
            <v>50</v>
          </cell>
          <cell r="C121">
            <v>0.41768529790197234</v>
          </cell>
          <cell r="D121">
            <v>0.36036671229867001</v>
          </cell>
          <cell r="G121">
            <v>0.36576199044870167</v>
          </cell>
          <cell r="K121">
            <v>0.32438717804188066</v>
          </cell>
          <cell r="Q121">
            <v>0.38781489801666613</v>
          </cell>
          <cell r="V121">
            <v>0.46599406949222572</v>
          </cell>
          <cell r="AC121">
            <v>0.29461265095987793</v>
          </cell>
          <cell r="AD121">
            <v>0.23975531842723821</v>
          </cell>
        </row>
        <row r="122">
          <cell r="B122">
            <v>60</v>
          </cell>
          <cell r="C122">
            <v>0.43303331409784535</v>
          </cell>
          <cell r="D122">
            <v>0.3750866839054236</v>
          </cell>
          <cell r="G122">
            <v>0.39660286834156566</v>
          </cell>
          <cell r="K122">
            <v>0.33719193506984979</v>
          </cell>
          <cell r="Q122">
            <v>0.40388151522021382</v>
          </cell>
          <cell r="V122">
            <v>0.48534139147588878</v>
          </cell>
          <cell r="AC122">
            <v>0.31920826247376971</v>
          </cell>
          <cell r="AD122">
            <v>0.25530991402990022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etsä OBA Free"/>
    </sheetNames>
    <sheetDataSet>
      <sheetData sheetId="0"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</row>
        <row r="95">
          <cell r="B95">
            <v>10</v>
          </cell>
          <cell r="C95">
            <v>54.132231404958731</v>
          </cell>
          <cell r="D95">
            <v>85.39944903581268</v>
          </cell>
          <cell r="E95">
            <v>70.110192837465561</v>
          </cell>
          <cell r="F95">
            <v>36.776859504132261</v>
          </cell>
        </row>
        <row r="96">
          <cell r="B96">
            <v>20</v>
          </cell>
          <cell r="C96">
            <v>67.355371900826512</v>
          </cell>
          <cell r="D96">
            <v>107.02479338842977</v>
          </cell>
          <cell r="E96">
            <v>89.669421487603302</v>
          </cell>
          <cell r="F96">
            <v>46.556473829201138</v>
          </cell>
        </row>
        <row r="97">
          <cell r="B97">
            <v>30</v>
          </cell>
          <cell r="C97">
            <v>77.548209366391262</v>
          </cell>
          <cell r="D97">
            <v>118.87052341597796</v>
          </cell>
          <cell r="E97">
            <v>101.79063360881537</v>
          </cell>
          <cell r="F97">
            <v>52.754820936639177</v>
          </cell>
        </row>
        <row r="98">
          <cell r="B98">
            <v>40</v>
          </cell>
          <cell r="C98">
            <v>84.710743801652953</v>
          </cell>
          <cell r="D98">
            <v>127.68595041322314</v>
          </cell>
          <cell r="E98">
            <v>108.40220385674925</v>
          </cell>
          <cell r="F98">
            <v>57.438016528925672</v>
          </cell>
        </row>
        <row r="99">
          <cell r="B99">
            <v>50</v>
          </cell>
          <cell r="C99">
            <v>91.046831955922855</v>
          </cell>
          <cell r="D99">
            <v>133.7465564738292</v>
          </cell>
          <cell r="E99">
            <v>116.11570247933878</v>
          </cell>
          <cell r="F99">
            <v>61.570247933884353</v>
          </cell>
        </row>
        <row r="100">
          <cell r="B100">
            <v>60</v>
          </cell>
          <cell r="C100"/>
          <cell r="D100"/>
          <cell r="E100"/>
          <cell r="F100"/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79DD-83B2-DF4D-A803-F5C53E7B4FE3}">
  <dimension ref="A1:P123"/>
  <sheetViews>
    <sheetView topLeftCell="F33" zoomScale="87" zoomScaleNormal="100" workbookViewId="0">
      <selection activeCell="O49" sqref="O49:O89"/>
    </sheetView>
  </sheetViews>
  <sheetFormatPr baseColWidth="10" defaultColWidth="10.83203125" defaultRowHeight="16" x14ac:dyDescent="0.2"/>
  <cols>
    <col min="1" max="1" width="10.83203125" style="1"/>
    <col min="2" max="4" width="15.83203125" style="5" customWidth="1"/>
    <col min="5" max="5" width="19.1640625" style="5" customWidth="1"/>
    <col min="6" max="6" width="17.33203125" style="5" customWidth="1"/>
    <col min="7" max="12" width="15.83203125" style="5" customWidth="1"/>
    <col min="13" max="13" width="15.83203125" style="1" customWidth="1"/>
    <col min="14" max="14" width="16.1640625" style="1" customWidth="1"/>
    <col min="15" max="15" width="17" style="1" customWidth="1"/>
    <col min="16" max="16" width="17.6640625" style="1" customWidth="1"/>
    <col min="17" max="16384" width="10.83203125" style="1"/>
  </cols>
  <sheetData>
    <row r="1" spans="1:16" x14ac:dyDescent="0.2">
      <c r="A1" s="2" t="s">
        <v>10</v>
      </c>
    </row>
    <row r="2" spans="1:16" s="3" customFormat="1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6" s="3" customFormat="1" ht="68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14</v>
      </c>
      <c r="F3" s="4" t="s">
        <v>15</v>
      </c>
      <c r="G3" s="4" t="s">
        <v>11</v>
      </c>
      <c r="H3" s="4" t="s">
        <v>12</v>
      </c>
      <c r="I3" s="4" t="s">
        <v>16</v>
      </c>
      <c r="J3" s="4" t="s">
        <v>17</v>
      </c>
      <c r="K3" s="4" t="s">
        <v>13</v>
      </c>
      <c r="L3" s="4" t="s">
        <v>9</v>
      </c>
      <c r="M3" s="4" t="s">
        <v>18</v>
      </c>
      <c r="N3" s="4" t="s">
        <v>19</v>
      </c>
      <c r="O3" s="4" t="s">
        <v>20</v>
      </c>
      <c r="P3" s="4" t="s">
        <v>21</v>
      </c>
    </row>
    <row r="4" spans="1:16" x14ac:dyDescent="0.2">
      <c r="A4" s="1">
        <v>1</v>
      </c>
      <c r="B4" s="5">
        <v>0</v>
      </c>
      <c r="C4" s="8">
        <v>0.80900000000000005</v>
      </c>
      <c r="D4" s="8">
        <v>0.80900000000000005</v>
      </c>
      <c r="E4" s="8">
        <v>0.81899999999999995</v>
      </c>
      <c r="F4" s="8">
        <v>0.79600000000000004</v>
      </c>
      <c r="G4" s="8">
        <v>0.82099999999999995</v>
      </c>
      <c r="H4" s="8">
        <v>0.80300000000000005</v>
      </c>
      <c r="I4" s="8">
        <v>0.80600000000000005</v>
      </c>
      <c r="J4" s="8">
        <v>0.80900000000000005</v>
      </c>
      <c r="K4" s="8">
        <v>0.84099999999999997</v>
      </c>
      <c r="L4" s="8">
        <v>0.84199999999999997</v>
      </c>
      <c r="M4" s="10">
        <v>0.81599999999999995</v>
      </c>
      <c r="N4" s="10">
        <v>0.84199999999999997</v>
      </c>
      <c r="O4" s="10">
        <v>0.83499999999999996</v>
      </c>
      <c r="P4" s="10">
        <v>0.83499999999999996</v>
      </c>
    </row>
    <row r="5" spans="1:16" x14ac:dyDescent="0.2">
      <c r="A5" s="1">
        <v>2</v>
      </c>
      <c r="B5" s="5">
        <v>0</v>
      </c>
      <c r="C5" s="8">
        <v>0.80300000000000005</v>
      </c>
      <c r="D5" s="8">
        <v>0.80900000000000005</v>
      </c>
      <c r="E5" s="8">
        <v>0.81799999999999995</v>
      </c>
      <c r="F5" s="8">
        <v>0.8</v>
      </c>
      <c r="G5" s="8">
        <v>0.82</v>
      </c>
      <c r="H5" s="8">
        <v>0.80800000000000005</v>
      </c>
      <c r="I5" s="8">
        <v>0.80800000000000005</v>
      </c>
      <c r="J5" s="8">
        <v>0.80800000000000005</v>
      </c>
      <c r="K5" s="8">
        <v>0.83199999999999996</v>
      </c>
      <c r="L5" s="8">
        <v>0.84599999999999997</v>
      </c>
      <c r="M5" s="1">
        <v>0.81699999999999995</v>
      </c>
      <c r="N5" s="1">
        <v>0.82699999999999996</v>
      </c>
      <c r="O5" s="11">
        <v>0.82599999999999996</v>
      </c>
      <c r="P5" s="11">
        <v>0.84599999999999997</v>
      </c>
    </row>
    <row r="6" spans="1:16" x14ac:dyDescent="0.2">
      <c r="A6" s="1">
        <v>3</v>
      </c>
      <c r="B6" s="5">
        <v>0</v>
      </c>
      <c r="C6" s="8">
        <v>0.80600000000000005</v>
      </c>
      <c r="D6" s="8">
        <v>0.81299999999999994</v>
      </c>
      <c r="E6" s="8">
        <v>0.81499999999999995</v>
      </c>
      <c r="F6" s="8">
        <v>0.80600000000000005</v>
      </c>
      <c r="G6" s="8">
        <v>0.80900000000000005</v>
      </c>
      <c r="H6" s="8">
        <v>0.82299999999999995</v>
      </c>
      <c r="I6" s="8">
        <v>0.81200000000000006</v>
      </c>
      <c r="J6" s="8">
        <v>0.80500000000000005</v>
      </c>
      <c r="K6" s="8">
        <v>0.83199999999999996</v>
      </c>
      <c r="L6" s="8">
        <v>0.83699999999999997</v>
      </c>
      <c r="M6" s="1">
        <v>0.78600000000000003</v>
      </c>
      <c r="N6" s="1">
        <v>0.84899999999999998</v>
      </c>
      <c r="O6" s="1">
        <v>0.82699999999999996</v>
      </c>
      <c r="P6" s="1">
        <v>0.84299999999999997</v>
      </c>
    </row>
    <row r="7" spans="1:16" x14ac:dyDescent="0.2">
      <c r="A7" s="1">
        <v>4</v>
      </c>
      <c r="B7" s="5">
        <v>0</v>
      </c>
      <c r="C7" s="8">
        <v>0.79700000000000004</v>
      </c>
      <c r="D7" s="8">
        <v>0.80800000000000005</v>
      </c>
      <c r="E7" s="8">
        <v>0.81399999999999995</v>
      </c>
      <c r="F7" s="8">
        <v>0.80900000000000005</v>
      </c>
      <c r="G7" s="8">
        <v>0.80500000000000005</v>
      </c>
      <c r="H7" s="8">
        <v>0.80900000000000005</v>
      </c>
      <c r="I7" s="8">
        <v>0.80400000000000005</v>
      </c>
      <c r="J7" s="8">
        <v>0.81499999999999995</v>
      </c>
      <c r="K7" s="8">
        <v>0.82699999999999996</v>
      </c>
      <c r="L7" s="8">
        <v>0.82299999999999995</v>
      </c>
      <c r="M7" s="1">
        <v>0.82</v>
      </c>
      <c r="N7" s="1">
        <v>0.84199999999999997</v>
      </c>
      <c r="O7" s="1">
        <v>0.81399999999999995</v>
      </c>
      <c r="P7" s="1">
        <v>0.81699999999999995</v>
      </c>
    </row>
    <row r="8" spans="1:16" x14ac:dyDescent="0.2">
      <c r="A8" s="1">
        <v>5</v>
      </c>
      <c r="B8" s="5">
        <v>0</v>
      </c>
      <c r="C8" s="8">
        <v>0.81200000000000006</v>
      </c>
      <c r="D8" s="8">
        <v>0.80700000000000005</v>
      </c>
      <c r="E8" s="8">
        <v>0.81200000000000006</v>
      </c>
      <c r="F8" s="8">
        <v>0.80200000000000005</v>
      </c>
      <c r="G8" s="8">
        <v>0.82299999999999995</v>
      </c>
      <c r="H8" s="8">
        <v>0.80800000000000005</v>
      </c>
      <c r="I8" s="8">
        <v>0.80900000000000005</v>
      </c>
      <c r="J8" s="8">
        <v>0.80200000000000005</v>
      </c>
      <c r="K8" s="8">
        <v>0.83499999999999996</v>
      </c>
      <c r="L8" s="8">
        <v>0.83199999999999996</v>
      </c>
      <c r="M8" s="1">
        <v>0.83599999999999997</v>
      </c>
      <c r="N8" s="1">
        <v>0.82599999999999996</v>
      </c>
      <c r="O8" s="1">
        <v>0.81499999999999995</v>
      </c>
      <c r="P8" s="1">
        <v>0.83199999999999996</v>
      </c>
    </row>
    <row r="9" spans="1:16" x14ac:dyDescent="0.2">
      <c r="B9" s="4"/>
      <c r="C9" s="9"/>
      <c r="D9" s="8"/>
      <c r="E9" s="8"/>
      <c r="F9" s="8"/>
      <c r="G9" s="8"/>
      <c r="H9" s="8"/>
      <c r="I9" s="8"/>
      <c r="J9" s="8"/>
      <c r="K9" s="8"/>
      <c r="L9" s="8"/>
    </row>
    <row r="10" spans="1:16" x14ac:dyDescent="0.2">
      <c r="A10" s="1">
        <v>1</v>
      </c>
      <c r="B10" s="5">
        <v>10</v>
      </c>
      <c r="C10" s="8">
        <v>0.89800000000000002</v>
      </c>
      <c r="D10" s="8">
        <v>0.89600000000000002</v>
      </c>
      <c r="E10" s="8">
        <v>0.91400000000000003</v>
      </c>
      <c r="F10" s="8">
        <v>0.88100000000000001</v>
      </c>
      <c r="G10" s="8">
        <v>0.96499999999999997</v>
      </c>
      <c r="H10" s="8">
        <v>0.88</v>
      </c>
      <c r="I10" s="8">
        <v>0.94</v>
      </c>
      <c r="J10" s="8">
        <v>0.89100000000000001</v>
      </c>
      <c r="K10" s="8">
        <v>0.88500000000000001</v>
      </c>
      <c r="L10" s="8">
        <v>0.88600000000000001</v>
      </c>
      <c r="M10" s="1">
        <v>0.86399999999999999</v>
      </c>
      <c r="N10" s="1">
        <v>0.85399999999999998</v>
      </c>
      <c r="O10" s="1">
        <v>0.88200000000000001</v>
      </c>
      <c r="P10" s="1">
        <v>0.91200000000000003</v>
      </c>
    </row>
    <row r="11" spans="1:16" x14ac:dyDescent="0.2">
      <c r="A11" s="1">
        <v>2</v>
      </c>
      <c r="B11" s="5">
        <v>10</v>
      </c>
      <c r="C11" s="8">
        <v>0.89100000000000001</v>
      </c>
      <c r="D11" s="8">
        <v>0.88800000000000001</v>
      </c>
      <c r="E11" s="8">
        <v>0.92100000000000004</v>
      </c>
      <c r="F11" s="8">
        <v>0.88500000000000001</v>
      </c>
      <c r="G11" s="8">
        <v>0.94199999999999995</v>
      </c>
      <c r="H11" s="8">
        <v>0.88200000000000001</v>
      </c>
      <c r="I11" s="8">
        <v>0.94199999999999995</v>
      </c>
      <c r="J11" s="8">
        <v>0.89200000000000002</v>
      </c>
      <c r="K11" s="8">
        <v>0.873</v>
      </c>
      <c r="L11" s="8">
        <v>0.85199999999999998</v>
      </c>
      <c r="M11" s="1">
        <v>0.86799999999999999</v>
      </c>
      <c r="N11" s="1">
        <v>0.85</v>
      </c>
      <c r="O11" s="1">
        <v>0.875</v>
      </c>
      <c r="P11" s="1">
        <v>0.85799999999999998</v>
      </c>
    </row>
    <row r="12" spans="1:16" x14ac:dyDescent="0.2">
      <c r="A12" s="1">
        <v>3</v>
      </c>
      <c r="B12" s="5">
        <v>10</v>
      </c>
      <c r="C12" s="8">
        <v>0.89100000000000001</v>
      </c>
      <c r="D12" s="8">
        <v>0.89</v>
      </c>
      <c r="E12" s="8">
        <v>0.92800000000000005</v>
      </c>
      <c r="F12" s="8">
        <v>0.89500000000000002</v>
      </c>
      <c r="G12" s="8">
        <v>0.95899999999999996</v>
      </c>
      <c r="H12" s="8">
        <v>0.91100000000000003</v>
      </c>
      <c r="I12" s="8">
        <v>0.94</v>
      </c>
      <c r="J12" s="8">
        <v>0.879</v>
      </c>
      <c r="K12" s="8">
        <v>0.875</v>
      </c>
      <c r="L12" s="8">
        <v>0.83799999999999997</v>
      </c>
      <c r="M12" s="1">
        <v>0.83899999999999997</v>
      </c>
      <c r="N12" s="1">
        <v>0.85799999999999998</v>
      </c>
      <c r="O12" s="1">
        <v>0.879</v>
      </c>
      <c r="P12" s="1">
        <v>0.86899999999999999</v>
      </c>
    </row>
    <row r="13" spans="1:16" x14ac:dyDescent="0.2">
      <c r="A13" s="1">
        <v>4</v>
      </c>
      <c r="B13" s="5">
        <v>10</v>
      </c>
      <c r="C13" s="8">
        <v>0.88700000000000001</v>
      </c>
      <c r="D13" s="8">
        <v>0.88900000000000001</v>
      </c>
      <c r="E13" s="8">
        <v>0.93500000000000005</v>
      </c>
      <c r="F13" s="8">
        <v>0.88200000000000001</v>
      </c>
      <c r="G13" s="5">
        <v>0.93100000000000005</v>
      </c>
      <c r="H13" s="8">
        <v>0.89100000000000001</v>
      </c>
      <c r="I13" s="8">
        <v>0.95499999999999996</v>
      </c>
      <c r="J13" s="8">
        <v>0.89900000000000002</v>
      </c>
      <c r="K13" s="8">
        <v>0.873</v>
      </c>
      <c r="L13" s="8">
        <v>0.871</v>
      </c>
      <c r="M13" s="1">
        <v>0.86599999999999999</v>
      </c>
      <c r="N13" s="1">
        <v>0.88100000000000001</v>
      </c>
      <c r="O13" s="1">
        <v>0.86899999999999999</v>
      </c>
      <c r="P13" s="1">
        <v>0.875</v>
      </c>
    </row>
    <row r="14" spans="1:16" x14ac:dyDescent="0.2">
      <c r="A14" s="1">
        <v>5</v>
      </c>
      <c r="B14" s="5">
        <v>10</v>
      </c>
      <c r="C14" s="8">
        <v>0.90100000000000002</v>
      </c>
      <c r="D14" s="8">
        <v>0.89300000000000002</v>
      </c>
      <c r="E14" s="8">
        <v>0.91600000000000004</v>
      </c>
      <c r="F14" s="8">
        <v>0.88800000000000001</v>
      </c>
      <c r="G14" s="8">
        <v>0.94099999999999995</v>
      </c>
      <c r="H14" s="8">
        <v>0.88100000000000001</v>
      </c>
      <c r="I14" s="8">
        <v>0.92400000000000004</v>
      </c>
      <c r="J14" s="8">
        <v>0.88800000000000001</v>
      </c>
      <c r="K14" s="8">
        <v>0.875</v>
      </c>
      <c r="L14" s="8">
        <v>0.879</v>
      </c>
      <c r="M14" s="1">
        <v>0.878</v>
      </c>
      <c r="N14" s="1">
        <v>0.88300000000000001</v>
      </c>
      <c r="O14" s="1">
        <v>0.86699999999999999</v>
      </c>
      <c r="P14" s="1">
        <v>0.86499999999999999</v>
      </c>
    </row>
    <row r="15" spans="1:16" x14ac:dyDescent="0.2">
      <c r="B15" s="4"/>
      <c r="C15" s="9"/>
      <c r="D15" s="8"/>
      <c r="E15" s="8"/>
      <c r="F15" s="8"/>
      <c r="G15" s="8"/>
      <c r="H15" s="8"/>
      <c r="I15" s="8"/>
      <c r="J15" s="8"/>
      <c r="K15" s="8"/>
      <c r="L15" s="8"/>
    </row>
    <row r="16" spans="1:16" x14ac:dyDescent="0.2">
      <c r="A16" s="1">
        <v>1</v>
      </c>
      <c r="B16" s="5">
        <v>20</v>
      </c>
      <c r="C16" s="8">
        <v>0.92100000000000004</v>
      </c>
      <c r="D16" s="8">
        <v>0.91800000000000004</v>
      </c>
      <c r="E16" s="8">
        <v>0.94399999999999995</v>
      </c>
      <c r="F16" s="8">
        <v>0.90600000000000003</v>
      </c>
      <c r="G16" s="8">
        <v>0.98399999999999999</v>
      </c>
      <c r="H16" s="8">
        <v>0.90400000000000003</v>
      </c>
      <c r="I16" s="8">
        <v>0.98499999999999999</v>
      </c>
      <c r="J16" s="8">
        <v>0.91500000000000004</v>
      </c>
      <c r="K16" s="8">
        <v>0.89900000000000002</v>
      </c>
      <c r="L16" s="8">
        <v>0.90500000000000003</v>
      </c>
      <c r="M16" s="1">
        <v>0.876</v>
      </c>
      <c r="N16" s="1">
        <v>0.86299999999999999</v>
      </c>
      <c r="O16" s="1">
        <v>0.89700000000000002</v>
      </c>
      <c r="P16" s="1">
        <v>0.92900000000000005</v>
      </c>
    </row>
    <row r="17" spans="1:16" x14ac:dyDescent="0.2">
      <c r="A17" s="1">
        <v>2</v>
      </c>
      <c r="B17" s="5">
        <v>20</v>
      </c>
      <c r="C17" s="8">
        <v>0.91700000000000004</v>
      </c>
      <c r="D17" s="8">
        <v>0.90700000000000003</v>
      </c>
      <c r="E17" s="8">
        <v>0.94499999999999995</v>
      </c>
      <c r="F17" s="8">
        <v>0.90900000000000003</v>
      </c>
      <c r="G17" s="8">
        <v>0.96899999999999997</v>
      </c>
      <c r="H17" s="8">
        <v>0.90600000000000003</v>
      </c>
      <c r="I17" s="8">
        <v>0.998</v>
      </c>
      <c r="J17" s="8">
        <v>0.91700000000000004</v>
      </c>
      <c r="K17" s="8">
        <v>0.88600000000000001</v>
      </c>
      <c r="L17" s="8">
        <v>0.86299999999999999</v>
      </c>
      <c r="M17" s="1">
        <v>0.879</v>
      </c>
      <c r="N17" s="1">
        <v>0.86799999999999999</v>
      </c>
      <c r="O17" s="1">
        <v>0.88800000000000001</v>
      </c>
      <c r="P17" s="1">
        <v>0.875</v>
      </c>
    </row>
    <row r="18" spans="1:16" x14ac:dyDescent="0.2">
      <c r="A18" s="1">
        <v>3</v>
      </c>
      <c r="B18" s="5">
        <v>20</v>
      </c>
      <c r="C18" s="8">
        <v>0.91700000000000004</v>
      </c>
      <c r="D18" s="8">
        <v>0.91300000000000003</v>
      </c>
      <c r="E18" s="8">
        <v>0.95699999999999996</v>
      </c>
      <c r="F18" s="8">
        <v>0.92</v>
      </c>
      <c r="G18" s="8">
        <v>0.98899999999999999</v>
      </c>
      <c r="H18" s="8">
        <v>0.93400000000000005</v>
      </c>
      <c r="I18" s="8">
        <v>0.98899999999999999</v>
      </c>
      <c r="J18" s="8">
        <v>0.90300000000000002</v>
      </c>
      <c r="K18" s="8">
        <v>0.88900000000000001</v>
      </c>
      <c r="L18" s="8">
        <v>0.84099999999999997</v>
      </c>
      <c r="M18" s="1">
        <v>0.84799999999999998</v>
      </c>
      <c r="N18" s="1">
        <v>0.87</v>
      </c>
      <c r="O18" s="1">
        <v>0.89300000000000002</v>
      </c>
      <c r="P18" s="1">
        <v>0.876</v>
      </c>
    </row>
    <row r="19" spans="1:16" x14ac:dyDescent="0.2">
      <c r="A19" s="1">
        <v>4</v>
      </c>
      <c r="B19" s="5">
        <v>20</v>
      </c>
      <c r="C19" s="8">
        <v>0.91200000000000003</v>
      </c>
      <c r="D19" s="8">
        <v>0.91500000000000004</v>
      </c>
      <c r="E19" s="8">
        <v>0.97</v>
      </c>
      <c r="F19" s="8">
        <v>0.90800000000000003</v>
      </c>
      <c r="G19" s="8">
        <v>0.97499999999999998</v>
      </c>
      <c r="H19" s="8">
        <v>0.91200000000000003</v>
      </c>
      <c r="I19" s="8">
        <v>1.014</v>
      </c>
      <c r="J19" s="8">
        <v>0.92200000000000004</v>
      </c>
      <c r="K19" s="8">
        <v>0.88300000000000001</v>
      </c>
      <c r="L19" s="8">
        <v>0.88800000000000001</v>
      </c>
      <c r="M19" s="1">
        <v>0.876</v>
      </c>
      <c r="N19" s="1">
        <v>0.89400000000000002</v>
      </c>
      <c r="O19" s="1">
        <v>0.88200000000000001</v>
      </c>
      <c r="P19" s="1">
        <v>0.90200000000000002</v>
      </c>
    </row>
    <row r="20" spans="1:16" x14ac:dyDescent="0.2">
      <c r="A20" s="1">
        <v>5</v>
      </c>
      <c r="B20" s="5">
        <v>20</v>
      </c>
      <c r="C20" s="8">
        <v>0.92300000000000004</v>
      </c>
      <c r="D20" s="8">
        <v>0.91700000000000004</v>
      </c>
      <c r="E20" s="8">
        <v>0.96399999999999997</v>
      </c>
      <c r="F20" s="8">
        <v>0.91300000000000003</v>
      </c>
      <c r="G20" s="8">
        <v>0.98</v>
      </c>
      <c r="H20" s="8">
        <v>0.90200000000000002</v>
      </c>
      <c r="I20" s="8">
        <v>0.95099999999999996</v>
      </c>
      <c r="J20" s="8">
        <v>0.91300000000000003</v>
      </c>
      <c r="K20" s="8">
        <v>0.88600000000000001</v>
      </c>
      <c r="L20" s="8">
        <v>0.89500000000000002</v>
      </c>
      <c r="M20" s="1">
        <v>0.88900000000000001</v>
      </c>
      <c r="N20" s="1">
        <v>0.89900000000000002</v>
      </c>
      <c r="O20" s="1">
        <v>0.879</v>
      </c>
      <c r="P20" s="1">
        <v>0.88100000000000001</v>
      </c>
    </row>
    <row r="21" spans="1:16" x14ac:dyDescent="0.2">
      <c r="B21" s="4"/>
      <c r="C21" s="9"/>
      <c r="D21" s="8"/>
      <c r="E21" s="8"/>
      <c r="F21" s="8"/>
      <c r="G21" s="8"/>
      <c r="H21" s="8"/>
      <c r="I21" s="8"/>
      <c r="J21" s="8"/>
      <c r="K21" s="8"/>
      <c r="L21" s="8"/>
    </row>
    <row r="22" spans="1:16" x14ac:dyDescent="0.2">
      <c r="A22" s="1">
        <v>1</v>
      </c>
      <c r="B22" s="5">
        <v>30</v>
      </c>
      <c r="C22" s="8">
        <v>0.94</v>
      </c>
      <c r="D22" s="8">
        <v>0.93899999999999995</v>
      </c>
      <c r="E22" s="8">
        <v>0.96199999999999997</v>
      </c>
      <c r="F22" s="8">
        <v>0.92700000000000005</v>
      </c>
      <c r="G22" s="8">
        <v>1.0049999999999999</v>
      </c>
      <c r="H22" s="8">
        <v>0.92100000000000004</v>
      </c>
      <c r="I22" s="8">
        <v>1.0109999999999999</v>
      </c>
      <c r="J22" s="8">
        <v>0.93600000000000005</v>
      </c>
      <c r="K22" s="8">
        <v>0.90400000000000003</v>
      </c>
      <c r="L22" s="8">
        <v>0.91600000000000004</v>
      </c>
      <c r="M22" s="1">
        <v>0.88500000000000001</v>
      </c>
      <c r="N22" s="1">
        <v>0.873</v>
      </c>
      <c r="O22" s="1">
        <v>0.90900000000000003</v>
      </c>
      <c r="P22" s="1">
        <v>0.94399999999999995</v>
      </c>
    </row>
    <row r="23" spans="1:16" x14ac:dyDescent="0.2">
      <c r="A23" s="1">
        <v>2</v>
      </c>
      <c r="B23" s="5">
        <v>30</v>
      </c>
      <c r="C23" s="8">
        <v>0.93799999999999994</v>
      </c>
      <c r="D23" s="8">
        <v>0.92500000000000004</v>
      </c>
      <c r="E23" s="8">
        <v>0.98199999999999998</v>
      </c>
      <c r="F23" s="8">
        <v>0.93</v>
      </c>
      <c r="G23" s="8">
        <v>0.99299999999999999</v>
      </c>
      <c r="H23" s="8">
        <v>0.92300000000000004</v>
      </c>
      <c r="I23" s="8">
        <v>1.0469999999999999</v>
      </c>
      <c r="J23" s="8">
        <v>0.93600000000000005</v>
      </c>
      <c r="K23" s="8">
        <v>0.89100000000000001</v>
      </c>
      <c r="L23" s="8">
        <v>0.871</v>
      </c>
      <c r="M23" s="1">
        <v>0.88600000000000001</v>
      </c>
      <c r="N23" s="1">
        <v>0.88500000000000001</v>
      </c>
      <c r="O23" s="1">
        <v>0.91100000000000003</v>
      </c>
      <c r="P23" s="1">
        <v>0.88600000000000001</v>
      </c>
    </row>
    <row r="24" spans="1:16" x14ac:dyDescent="0.2">
      <c r="A24" s="1">
        <v>3</v>
      </c>
      <c r="B24" s="5">
        <v>30</v>
      </c>
      <c r="C24" s="8">
        <v>0.94</v>
      </c>
      <c r="D24" s="8">
        <v>0.93</v>
      </c>
      <c r="E24" s="8">
        <v>0.97899999999999998</v>
      </c>
      <c r="F24" s="8">
        <v>0.94399999999999995</v>
      </c>
      <c r="G24" s="8">
        <v>1.0209999999999999</v>
      </c>
      <c r="H24" s="8">
        <v>0.95099999999999996</v>
      </c>
      <c r="I24" s="8">
        <v>1.0129999999999999</v>
      </c>
      <c r="J24" s="8">
        <v>0.92</v>
      </c>
      <c r="K24" s="8">
        <v>0.89500000000000002</v>
      </c>
      <c r="L24" s="8">
        <v>0.84399999999999997</v>
      </c>
      <c r="M24" s="1">
        <v>0.85299999999999998</v>
      </c>
      <c r="N24" s="1">
        <v>0.88</v>
      </c>
      <c r="O24" s="1">
        <v>0.91100000000000003</v>
      </c>
      <c r="P24" s="1">
        <v>0.88300000000000001</v>
      </c>
    </row>
    <row r="25" spans="1:16" x14ac:dyDescent="0.2">
      <c r="A25" s="1">
        <v>4</v>
      </c>
      <c r="B25" s="5">
        <v>30</v>
      </c>
      <c r="C25" s="8">
        <v>0.93700000000000006</v>
      </c>
      <c r="D25" s="8">
        <v>0.93600000000000005</v>
      </c>
      <c r="E25" s="8">
        <v>0.996</v>
      </c>
      <c r="F25" s="8">
        <v>0.93</v>
      </c>
      <c r="G25" s="8">
        <v>1.0049999999999999</v>
      </c>
      <c r="H25" s="8">
        <v>0.93</v>
      </c>
      <c r="I25" s="8">
        <v>1.046</v>
      </c>
      <c r="J25" s="8">
        <v>0.93799999999999994</v>
      </c>
      <c r="K25" s="8">
        <v>0.88700000000000001</v>
      </c>
      <c r="L25" s="8">
        <v>0.89800000000000002</v>
      </c>
      <c r="M25" s="1">
        <v>0.88400000000000001</v>
      </c>
      <c r="N25" s="1">
        <v>0.90300000000000002</v>
      </c>
      <c r="O25" s="1">
        <v>0.90400000000000003</v>
      </c>
      <c r="P25" s="1">
        <v>0.91300000000000003</v>
      </c>
    </row>
    <row r="26" spans="1:16" x14ac:dyDescent="0.2">
      <c r="A26" s="1">
        <v>5</v>
      </c>
      <c r="B26" s="5">
        <v>30</v>
      </c>
      <c r="C26" s="8">
        <v>0.94399999999999995</v>
      </c>
      <c r="D26" s="8">
        <v>0.93899999999999995</v>
      </c>
      <c r="E26" s="8">
        <v>0.999</v>
      </c>
      <c r="F26" s="8">
        <v>0.93</v>
      </c>
      <c r="G26" s="8">
        <v>1.018</v>
      </c>
      <c r="H26" s="8">
        <v>0.91900000000000004</v>
      </c>
      <c r="I26" s="8">
        <v>0.97899999999999998</v>
      </c>
      <c r="J26" s="8">
        <v>0.92600000000000005</v>
      </c>
      <c r="K26" s="8">
        <v>0.89200000000000002</v>
      </c>
      <c r="L26" s="8">
        <v>0.90800000000000003</v>
      </c>
      <c r="M26" s="1">
        <v>0.89800000000000002</v>
      </c>
      <c r="N26" s="1">
        <v>0.90900000000000003</v>
      </c>
      <c r="O26" s="1">
        <v>0.90300000000000002</v>
      </c>
      <c r="P26" s="1">
        <v>0.89300000000000002</v>
      </c>
    </row>
    <row r="27" spans="1:16" x14ac:dyDescent="0.2">
      <c r="B27" s="4"/>
      <c r="C27" s="9"/>
      <c r="D27" s="8"/>
      <c r="E27" s="8"/>
      <c r="F27" s="8"/>
      <c r="G27" s="8"/>
      <c r="H27" s="8"/>
      <c r="I27" s="8"/>
      <c r="J27" s="8"/>
      <c r="K27" s="8"/>
      <c r="L27" s="8"/>
    </row>
    <row r="28" spans="1:16" x14ac:dyDescent="0.2">
      <c r="A28" s="1">
        <v>1</v>
      </c>
      <c r="B28" s="5">
        <v>40</v>
      </c>
      <c r="C28" s="8">
        <v>0.96099999999999997</v>
      </c>
      <c r="D28" s="8">
        <v>0.95199999999999996</v>
      </c>
      <c r="E28" s="8">
        <v>0.97299999999999998</v>
      </c>
      <c r="F28" s="8">
        <v>0.95</v>
      </c>
      <c r="G28" s="8">
        <v>1.022</v>
      </c>
      <c r="H28" s="8">
        <v>0.93799999999999994</v>
      </c>
      <c r="I28" s="8">
        <v>1.026</v>
      </c>
      <c r="J28" s="8">
        <v>0.95499999999999996</v>
      </c>
      <c r="K28" s="8">
        <v>0.90700000000000003</v>
      </c>
      <c r="L28" s="8">
        <v>0.92400000000000004</v>
      </c>
      <c r="M28" s="1">
        <v>0.89400000000000002</v>
      </c>
      <c r="N28" s="1">
        <v>0.88200000000000001</v>
      </c>
      <c r="O28" s="1">
        <v>0.91900000000000004</v>
      </c>
      <c r="P28" s="1">
        <v>0.95299999999999996</v>
      </c>
    </row>
    <row r="29" spans="1:16" x14ac:dyDescent="0.2">
      <c r="A29" s="1">
        <v>2</v>
      </c>
      <c r="B29" s="5">
        <v>40</v>
      </c>
      <c r="C29" s="8">
        <v>0.95799999999999996</v>
      </c>
      <c r="D29" s="8">
        <v>0.93899999999999995</v>
      </c>
      <c r="E29" s="8">
        <v>1.008</v>
      </c>
      <c r="F29" s="8">
        <v>0.95199999999999996</v>
      </c>
      <c r="G29" s="8">
        <v>1.0089999999999999</v>
      </c>
      <c r="H29" s="8">
        <v>0.94</v>
      </c>
      <c r="I29" s="8">
        <v>1.0780000000000001</v>
      </c>
      <c r="J29" s="8">
        <v>0.95799999999999996</v>
      </c>
      <c r="K29" s="8">
        <v>0.89300000000000002</v>
      </c>
      <c r="L29" s="8">
        <v>0.878</v>
      </c>
      <c r="M29" s="1">
        <v>0.89400000000000002</v>
      </c>
      <c r="N29" s="1">
        <v>0.89700000000000002</v>
      </c>
      <c r="O29" s="1">
        <v>0.92300000000000004</v>
      </c>
      <c r="P29" s="1">
        <v>0.89300000000000002</v>
      </c>
    </row>
    <row r="30" spans="1:16" x14ac:dyDescent="0.2">
      <c r="A30" s="1">
        <v>3</v>
      </c>
      <c r="B30" s="5">
        <v>40</v>
      </c>
      <c r="C30" s="8">
        <v>0.96099999999999997</v>
      </c>
      <c r="D30" s="8">
        <v>0.94299999999999995</v>
      </c>
      <c r="E30" s="8">
        <v>1.002</v>
      </c>
      <c r="F30" s="8">
        <v>0.96599999999999997</v>
      </c>
      <c r="G30" s="8">
        <v>1.04</v>
      </c>
      <c r="H30" s="8">
        <v>0.96799999999999997</v>
      </c>
      <c r="I30" s="8">
        <v>1.0449999999999999</v>
      </c>
      <c r="J30" s="8">
        <v>0.93799999999999994</v>
      </c>
      <c r="K30" s="8">
        <v>0.89700000000000002</v>
      </c>
      <c r="L30" s="8">
        <v>0.84699999999999998</v>
      </c>
      <c r="M30" s="1">
        <v>0.86299999999999999</v>
      </c>
      <c r="N30" s="1">
        <v>0.89</v>
      </c>
      <c r="O30" s="1">
        <v>0.92</v>
      </c>
      <c r="P30" s="1">
        <v>0.89</v>
      </c>
    </row>
    <row r="31" spans="1:16" x14ac:dyDescent="0.2">
      <c r="A31" s="1">
        <v>4</v>
      </c>
      <c r="B31" s="5">
        <v>40</v>
      </c>
      <c r="C31" s="8">
        <v>0.96799999999999997</v>
      </c>
      <c r="D31" s="8">
        <v>0.94799999999999995</v>
      </c>
      <c r="E31" s="8">
        <v>1.0229999999999999</v>
      </c>
      <c r="F31" s="8">
        <v>0.95099999999999996</v>
      </c>
      <c r="G31" s="8">
        <v>1.0329999999999999</v>
      </c>
      <c r="H31" s="8">
        <v>0.94799999999999995</v>
      </c>
      <c r="I31" s="8">
        <v>1.0820000000000001</v>
      </c>
      <c r="J31" s="8">
        <v>0.95899999999999996</v>
      </c>
      <c r="K31" s="8">
        <v>0.88900000000000001</v>
      </c>
      <c r="L31" s="8">
        <v>0.90900000000000003</v>
      </c>
      <c r="M31" s="1">
        <v>0.89</v>
      </c>
      <c r="N31" s="1">
        <v>0.91400000000000003</v>
      </c>
      <c r="O31" s="1">
        <v>0.91400000000000003</v>
      </c>
      <c r="P31" s="1">
        <v>0.92900000000000005</v>
      </c>
    </row>
    <row r="32" spans="1:16" x14ac:dyDescent="0.2">
      <c r="A32" s="1">
        <v>5</v>
      </c>
      <c r="B32" s="5">
        <v>40</v>
      </c>
      <c r="C32" s="8">
        <v>0.96399999999999997</v>
      </c>
      <c r="D32" s="8">
        <v>0.95199999999999996</v>
      </c>
      <c r="E32" s="8">
        <v>1.022</v>
      </c>
      <c r="F32" s="8">
        <v>0.94699999999999995</v>
      </c>
      <c r="G32" s="8">
        <v>1.1100000000000001</v>
      </c>
      <c r="H32" s="8">
        <v>0.93500000000000005</v>
      </c>
      <c r="I32" s="8">
        <v>0.999</v>
      </c>
      <c r="J32" s="8">
        <v>0.94499999999999995</v>
      </c>
      <c r="K32" s="8">
        <v>0.89500000000000002</v>
      </c>
      <c r="L32" s="8">
        <v>0.91600000000000004</v>
      </c>
      <c r="M32" s="1">
        <v>0.90300000000000002</v>
      </c>
      <c r="N32" s="1">
        <v>0.91900000000000004</v>
      </c>
      <c r="O32" s="1">
        <v>0.91800000000000004</v>
      </c>
      <c r="P32" s="1">
        <v>0.90700000000000003</v>
      </c>
    </row>
    <row r="33" spans="1:16" x14ac:dyDescent="0.2">
      <c r="B33" s="4"/>
      <c r="C33" s="9"/>
      <c r="D33" s="8"/>
      <c r="E33" s="8"/>
      <c r="F33" s="8"/>
      <c r="G33" s="8"/>
      <c r="H33" s="8"/>
      <c r="I33" s="8"/>
      <c r="J33" s="8"/>
      <c r="K33" s="8"/>
      <c r="L33" s="8"/>
    </row>
    <row r="34" spans="1:16" x14ac:dyDescent="0.2">
      <c r="A34" s="1">
        <v>1</v>
      </c>
      <c r="B34" s="5">
        <v>50</v>
      </c>
      <c r="C34" s="8">
        <v>0.98499999999999999</v>
      </c>
      <c r="D34" s="8">
        <v>0.96499999999999997</v>
      </c>
      <c r="E34" s="8">
        <v>1.0109999999999999</v>
      </c>
      <c r="F34" s="8">
        <v>0.97599999999999998</v>
      </c>
      <c r="G34" s="8">
        <v>1.036</v>
      </c>
      <c r="H34" s="8">
        <v>0.95599999999999996</v>
      </c>
      <c r="I34" s="8">
        <v>1.04</v>
      </c>
      <c r="J34" s="8">
        <v>0.97899999999999998</v>
      </c>
      <c r="K34" s="8">
        <v>0.91300000000000003</v>
      </c>
      <c r="L34" s="8">
        <v>0.93500000000000005</v>
      </c>
      <c r="M34" s="1">
        <v>0.89900000000000002</v>
      </c>
      <c r="N34" s="1">
        <v>0.89100000000000001</v>
      </c>
      <c r="O34" s="1">
        <v>0.92800000000000005</v>
      </c>
      <c r="P34" s="1">
        <v>0.96799999999999997</v>
      </c>
    </row>
    <row r="35" spans="1:16" x14ac:dyDescent="0.2">
      <c r="A35" s="1">
        <v>2</v>
      </c>
      <c r="B35" s="5">
        <v>50</v>
      </c>
      <c r="C35" s="8">
        <v>0.98099999999999998</v>
      </c>
      <c r="D35" s="8">
        <v>0.95399999999999996</v>
      </c>
      <c r="E35" s="8">
        <v>1.0309999999999999</v>
      </c>
      <c r="F35" s="8">
        <v>0.97199999999999998</v>
      </c>
      <c r="G35" s="8">
        <v>1.0149999999999999</v>
      </c>
      <c r="H35" s="8">
        <v>0.95799999999999996</v>
      </c>
      <c r="I35" s="8">
        <v>1.0880000000000001</v>
      </c>
      <c r="J35" s="8">
        <v>0.98099999999999998</v>
      </c>
      <c r="K35" s="8">
        <v>0.89700000000000002</v>
      </c>
      <c r="L35" s="8">
        <v>0.88300000000000001</v>
      </c>
      <c r="M35" s="1">
        <v>0.89700000000000002</v>
      </c>
      <c r="N35" s="1">
        <v>0.90600000000000003</v>
      </c>
      <c r="O35" s="1">
        <v>0.93100000000000005</v>
      </c>
      <c r="P35" s="1">
        <v>0.90100000000000002</v>
      </c>
    </row>
    <row r="36" spans="1:16" x14ac:dyDescent="0.2">
      <c r="A36" s="1">
        <v>3</v>
      </c>
      <c r="B36" s="5">
        <v>50</v>
      </c>
      <c r="C36" s="8">
        <v>0.99399999999999999</v>
      </c>
      <c r="D36" s="8">
        <v>0.95599999999999996</v>
      </c>
      <c r="E36" s="8">
        <v>1.0229999999999999</v>
      </c>
      <c r="F36" s="8">
        <v>0.997</v>
      </c>
      <c r="G36" s="8">
        <v>1.0529999999999999</v>
      </c>
      <c r="H36" s="8">
        <v>0.99199999999999999</v>
      </c>
      <c r="I36" s="8">
        <v>1.056</v>
      </c>
      <c r="J36" s="8">
        <v>0.95699999999999996</v>
      </c>
      <c r="K36" s="8">
        <v>0.89900000000000002</v>
      </c>
      <c r="L36" s="8">
        <v>0.85</v>
      </c>
      <c r="M36" s="1">
        <v>0.86399999999999999</v>
      </c>
      <c r="N36" s="1">
        <v>0.89800000000000002</v>
      </c>
      <c r="O36" s="1">
        <v>0.92700000000000005</v>
      </c>
      <c r="P36" s="1">
        <v>0.89800000000000002</v>
      </c>
    </row>
    <row r="37" spans="1:16" x14ac:dyDescent="0.2">
      <c r="A37" s="1">
        <v>4</v>
      </c>
      <c r="B37" s="5">
        <v>50</v>
      </c>
      <c r="C37" s="8">
        <v>1.0089999999999999</v>
      </c>
      <c r="D37" s="8">
        <v>0.96099999999999997</v>
      </c>
      <c r="E37" s="8">
        <v>1.046</v>
      </c>
      <c r="F37" s="8">
        <v>0.97599999999999998</v>
      </c>
      <c r="G37" s="8">
        <v>1.0429999999999999</v>
      </c>
      <c r="H37" s="8">
        <v>0.96499999999999997</v>
      </c>
      <c r="I37" s="8">
        <v>1.1020000000000001</v>
      </c>
      <c r="J37" s="8">
        <v>0.97599999999999998</v>
      </c>
      <c r="K37" s="8">
        <v>0.89200000000000002</v>
      </c>
      <c r="L37" s="8">
        <v>0.91700000000000004</v>
      </c>
      <c r="M37" s="1">
        <v>0.89200000000000002</v>
      </c>
      <c r="N37" s="1">
        <v>0.92100000000000004</v>
      </c>
      <c r="O37" s="1">
        <v>0.92200000000000004</v>
      </c>
      <c r="P37" s="1">
        <v>0.94</v>
      </c>
    </row>
    <row r="38" spans="1:16" x14ac:dyDescent="0.2">
      <c r="A38" s="1">
        <v>5</v>
      </c>
      <c r="B38" s="5">
        <v>50</v>
      </c>
      <c r="C38" s="8">
        <v>0.99399999999999999</v>
      </c>
      <c r="D38" s="8">
        <v>0.96799999999999997</v>
      </c>
      <c r="E38" s="8">
        <v>1.0469999999999999</v>
      </c>
      <c r="F38" s="8">
        <v>0.96299999999999997</v>
      </c>
      <c r="G38" s="8">
        <v>1.0209999999999999</v>
      </c>
      <c r="H38" s="8">
        <v>0.94899999999999995</v>
      </c>
      <c r="I38" s="8">
        <v>1.0129999999999999</v>
      </c>
      <c r="J38" s="8">
        <v>0.95799999999999996</v>
      </c>
      <c r="K38" s="8">
        <v>0.89800000000000002</v>
      </c>
      <c r="L38" s="8">
        <v>0.92200000000000004</v>
      </c>
      <c r="M38" s="1">
        <v>0.90300000000000002</v>
      </c>
      <c r="N38" s="1">
        <v>0.92900000000000005</v>
      </c>
      <c r="O38" s="1">
        <v>0.92200000000000004</v>
      </c>
      <c r="P38" s="1">
        <v>0.92400000000000004</v>
      </c>
    </row>
    <row r="39" spans="1:16" x14ac:dyDescent="0.2">
      <c r="B39" s="4"/>
      <c r="C39" s="9"/>
      <c r="D39" s="8"/>
      <c r="E39" s="8"/>
      <c r="F39" s="8"/>
      <c r="G39" s="8"/>
      <c r="H39" s="8"/>
      <c r="I39" s="8"/>
      <c r="J39" s="8"/>
      <c r="K39" s="8"/>
      <c r="L39" s="8"/>
    </row>
    <row r="40" spans="1:16" x14ac:dyDescent="0.2">
      <c r="A40" s="1">
        <v>1</v>
      </c>
      <c r="B40" s="5">
        <v>60</v>
      </c>
      <c r="C40" s="8">
        <v>1.0209999999999999</v>
      </c>
      <c r="D40" s="8">
        <v>0.97699999999999998</v>
      </c>
      <c r="E40" s="8">
        <v>1.0389999999999999</v>
      </c>
      <c r="F40" s="8">
        <v>1.0229999999999999</v>
      </c>
      <c r="G40" s="8">
        <v>1.046</v>
      </c>
      <c r="H40" s="8">
        <v>0.97699999999999998</v>
      </c>
      <c r="I40" s="8">
        <v>1.0620000000000001</v>
      </c>
      <c r="J40" s="8">
        <v>1.02</v>
      </c>
      <c r="K40" s="8">
        <v>0.91600000000000004</v>
      </c>
      <c r="L40" s="8">
        <v>0.94</v>
      </c>
      <c r="M40" s="1">
        <v>0.90500000000000003</v>
      </c>
      <c r="N40" s="1">
        <v>0.89900000000000002</v>
      </c>
      <c r="O40" s="1">
        <v>0.93400000000000005</v>
      </c>
      <c r="P40" s="1">
        <v>0.98899999999999999</v>
      </c>
    </row>
    <row r="41" spans="1:16" x14ac:dyDescent="0.2">
      <c r="A41" s="1">
        <v>2</v>
      </c>
      <c r="B41" s="5">
        <v>60</v>
      </c>
      <c r="C41" s="8">
        <v>1.006</v>
      </c>
      <c r="D41" s="8">
        <v>0.96599999999999997</v>
      </c>
      <c r="E41" s="8">
        <v>1.0469999999999999</v>
      </c>
      <c r="F41" s="8">
        <v>1.0029999999999999</v>
      </c>
      <c r="G41" s="8">
        <v>1.028</v>
      </c>
      <c r="H41" s="8">
        <v>0.97399999999999998</v>
      </c>
      <c r="I41" s="8">
        <v>1.1220000000000001</v>
      </c>
      <c r="J41" s="8">
        <v>1.0049999999999999</v>
      </c>
      <c r="K41" s="8">
        <v>0.9</v>
      </c>
      <c r="L41" s="8">
        <v>0.88700000000000001</v>
      </c>
      <c r="M41" s="1">
        <v>0.90100000000000002</v>
      </c>
      <c r="N41" s="1">
        <v>0.91500000000000004</v>
      </c>
      <c r="O41" s="1">
        <v>0.93500000000000005</v>
      </c>
      <c r="P41" s="1">
        <v>0.91</v>
      </c>
    </row>
    <row r="42" spans="1:16" x14ac:dyDescent="0.2">
      <c r="A42" s="1">
        <v>3</v>
      </c>
      <c r="B42" s="5">
        <v>60</v>
      </c>
      <c r="C42" s="8">
        <v>1.034</v>
      </c>
      <c r="D42" s="8">
        <v>0.97599999999999998</v>
      </c>
      <c r="E42" s="8">
        <v>1.042</v>
      </c>
      <c r="F42" s="8">
        <v>1.026</v>
      </c>
      <c r="G42" s="8">
        <v>1.0669999999999999</v>
      </c>
      <c r="H42" s="8">
        <v>1.0189999999999999</v>
      </c>
      <c r="I42" s="8">
        <v>1.0960000000000001</v>
      </c>
      <c r="J42" s="8">
        <v>0.97599999999999998</v>
      </c>
      <c r="K42" s="8">
        <v>0.90200000000000002</v>
      </c>
      <c r="L42" s="8">
        <v>0.85399999999999998</v>
      </c>
      <c r="M42" s="1">
        <v>0.86799999999999999</v>
      </c>
      <c r="N42" s="1">
        <v>0.90600000000000003</v>
      </c>
      <c r="O42" s="1">
        <v>0.93200000000000005</v>
      </c>
      <c r="P42" s="1">
        <v>0.90300000000000002</v>
      </c>
    </row>
    <row r="43" spans="1:16" x14ac:dyDescent="0.2">
      <c r="A43" s="1">
        <v>4</v>
      </c>
      <c r="B43" s="5">
        <v>60</v>
      </c>
      <c r="C43" s="8">
        <v>1.0569999999999999</v>
      </c>
      <c r="D43" s="8">
        <v>0.97099999999999997</v>
      </c>
      <c r="E43" s="8">
        <v>1.0620000000000001</v>
      </c>
      <c r="F43" s="8">
        <v>1.006</v>
      </c>
      <c r="G43" s="8">
        <v>1.0609999999999999</v>
      </c>
      <c r="H43" s="8">
        <v>0.98299999999999998</v>
      </c>
      <c r="I43" s="8">
        <v>1.1240000000000001</v>
      </c>
      <c r="J43" s="8">
        <v>0.996</v>
      </c>
      <c r="K43" s="8">
        <v>0.89300000000000002</v>
      </c>
      <c r="L43" s="8">
        <v>0.92400000000000004</v>
      </c>
      <c r="M43" s="1">
        <v>0.89400000000000002</v>
      </c>
      <c r="N43" s="1">
        <v>0.92700000000000005</v>
      </c>
      <c r="O43" s="1">
        <v>0.92600000000000005</v>
      </c>
      <c r="P43" s="1">
        <v>0.95299999999999996</v>
      </c>
    </row>
    <row r="44" spans="1:16" x14ac:dyDescent="0.2">
      <c r="A44" s="1">
        <v>5</v>
      </c>
      <c r="B44" s="5">
        <v>60</v>
      </c>
      <c r="C44" s="8">
        <v>1.018</v>
      </c>
      <c r="D44" s="8">
        <v>0.97599999999999998</v>
      </c>
      <c r="E44" s="8">
        <v>1.0760000000000001</v>
      </c>
      <c r="F44" s="8">
        <v>0.98699999999999999</v>
      </c>
      <c r="G44" s="8">
        <v>1.0309999999999999</v>
      </c>
      <c r="H44" s="8">
        <v>0.97299999999999998</v>
      </c>
      <c r="I44" s="8">
        <v>1.048</v>
      </c>
      <c r="J44" s="8">
        <v>0.97499999999999998</v>
      </c>
      <c r="K44" s="8">
        <v>0.89900000000000002</v>
      </c>
      <c r="L44" s="8">
        <v>0.92900000000000005</v>
      </c>
      <c r="M44" s="1">
        <v>0.90700000000000003</v>
      </c>
      <c r="N44" s="1">
        <v>0.94</v>
      </c>
      <c r="O44" s="1">
        <v>0.92500000000000004</v>
      </c>
      <c r="P44" s="1">
        <v>0.94099999999999995</v>
      </c>
    </row>
    <row r="45" spans="1:16" x14ac:dyDescent="0.2">
      <c r="B45" s="4"/>
      <c r="C45" s="9"/>
      <c r="D45" s="8"/>
      <c r="E45" s="8"/>
      <c r="F45" s="8"/>
      <c r="G45" s="8"/>
      <c r="H45" s="8"/>
      <c r="I45" s="8"/>
      <c r="J45" s="8"/>
      <c r="K45" s="8"/>
      <c r="L45" s="8"/>
    </row>
    <row r="47" spans="1:16" s="3" customFormat="1" x14ac:dyDescent="0.2">
      <c r="A47" s="18" t="s">
        <v>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6" s="3" customFormat="1" ht="68" x14ac:dyDescent="0.2">
      <c r="A48" s="3" t="s">
        <v>1</v>
      </c>
      <c r="B48" s="4" t="s">
        <v>2</v>
      </c>
      <c r="C48" s="4" t="s">
        <v>3</v>
      </c>
      <c r="D48" s="4" t="s">
        <v>4</v>
      </c>
      <c r="E48" s="4" t="s">
        <v>14</v>
      </c>
      <c r="F48" s="4" t="s">
        <v>15</v>
      </c>
      <c r="G48" s="4" t="s">
        <v>11</v>
      </c>
      <c r="H48" s="4" t="s">
        <v>12</v>
      </c>
      <c r="I48" s="4" t="s">
        <v>16</v>
      </c>
      <c r="J48" s="4" t="s">
        <v>17</v>
      </c>
      <c r="K48" s="4" t="s">
        <v>13</v>
      </c>
      <c r="L48" s="4" t="s">
        <v>9</v>
      </c>
      <c r="M48" s="4" t="s">
        <v>18</v>
      </c>
      <c r="N48" s="4" t="s">
        <v>19</v>
      </c>
      <c r="O48" s="4" t="s">
        <v>20</v>
      </c>
      <c r="P48" s="4" t="s">
        <v>21</v>
      </c>
    </row>
    <row r="49" spans="1:16" x14ac:dyDescent="0.2">
      <c r="A49" s="1">
        <v>1</v>
      </c>
      <c r="B49" s="5">
        <v>0</v>
      </c>
      <c r="C49" s="7">
        <f xml:space="preserve"> (C4-C4)/14.52</f>
        <v>0</v>
      </c>
      <c r="D49" s="7">
        <f t="shared" ref="D49:L49" si="0" xml:space="preserve"> (D4-D4)/14.52</f>
        <v>0</v>
      </c>
      <c r="E49" s="7">
        <f t="shared" si="0"/>
        <v>0</v>
      </c>
      <c r="F49" s="7">
        <f t="shared" si="0"/>
        <v>0</v>
      </c>
      <c r="G49" s="7">
        <f t="shared" si="0"/>
        <v>0</v>
      </c>
      <c r="H49" s="7">
        <f t="shared" si="0"/>
        <v>0</v>
      </c>
      <c r="I49" s="7">
        <f t="shared" si="0"/>
        <v>0</v>
      </c>
      <c r="J49" s="7">
        <f t="shared" si="0"/>
        <v>0</v>
      </c>
      <c r="K49" s="7">
        <f t="shared" si="0"/>
        <v>0</v>
      </c>
      <c r="L49" s="7">
        <f t="shared" si="0"/>
        <v>0</v>
      </c>
      <c r="M49" s="7">
        <f t="shared" ref="M49:P49" si="1" xml:space="preserve"> (M4-M4)/14.52</f>
        <v>0</v>
      </c>
      <c r="N49" s="7">
        <f t="shared" si="1"/>
        <v>0</v>
      </c>
      <c r="O49" s="7">
        <f t="shared" si="1"/>
        <v>0</v>
      </c>
      <c r="P49" s="7">
        <f t="shared" si="1"/>
        <v>0</v>
      </c>
    </row>
    <row r="50" spans="1:16" x14ac:dyDescent="0.2">
      <c r="A50" s="1">
        <v>2</v>
      </c>
      <c r="B50" s="5">
        <v>0</v>
      </c>
      <c r="C50" s="7">
        <f xml:space="preserve"> (C5-C5)/14.52</f>
        <v>0</v>
      </c>
      <c r="D50" s="7">
        <f t="shared" ref="D50:L50" si="2" xml:space="preserve"> (D5-D5)/14.52</f>
        <v>0</v>
      </c>
      <c r="E50" s="7">
        <f t="shared" si="2"/>
        <v>0</v>
      </c>
      <c r="F50" s="7">
        <f t="shared" si="2"/>
        <v>0</v>
      </c>
      <c r="G50" s="7">
        <f t="shared" si="2"/>
        <v>0</v>
      </c>
      <c r="H50" s="7">
        <f t="shared" si="2"/>
        <v>0</v>
      </c>
      <c r="I50" s="7">
        <f t="shared" si="2"/>
        <v>0</v>
      </c>
      <c r="J50" s="7">
        <f t="shared" si="2"/>
        <v>0</v>
      </c>
      <c r="K50" s="7">
        <f t="shared" si="2"/>
        <v>0</v>
      </c>
      <c r="L50" s="7">
        <f t="shared" si="2"/>
        <v>0</v>
      </c>
      <c r="M50" s="7">
        <f t="shared" ref="M50:P50" si="3" xml:space="preserve"> (M5-M5)/14.52</f>
        <v>0</v>
      </c>
      <c r="N50" s="7">
        <f t="shared" si="3"/>
        <v>0</v>
      </c>
      <c r="O50" s="7">
        <f t="shared" si="3"/>
        <v>0</v>
      </c>
      <c r="P50" s="7">
        <f t="shared" si="3"/>
        <v>0</v>
      </c>
    </row>
    <row r="51" spans="1:16" x14ac:dyDescent="0.2">
      <c r="A51" s="1">
        <v>3</v>
      </c>
      <c r="B51" s="5">
        <v>0</v>
      </c>
      <c r="C51" s="7">
        <f xml:space="preserve"> (C6-C6)/14.52</f>
        <v>0</v>
      </c>
      <c r="D51" s="7">
        <f t="shared" ref="D51:L51" si="4" xml:space="preserve"> (D6-D6)/14.52</f>
        <v>0</v>
      </c>
      <c r="E51" s="7">
        <f t="shared" si="4"/>
        <v>0</v>
      </c>
      <c r="F51" s="7">
        <f t="shared" si="4"/>
        <v>0</v>
      </c>
      <c r="G51" s="7">
        <f t="shared" si="4"/>
        <v>0</v>
      </c>
      <c r="H51" s="7">
        <f t="shared" si="4"/>
        <v>0</v>
      </c>
      <c r="I51" s="7">
        <f t="shared" si="4"/>
        <v>0</v>
      </c>
      <c r="J51" s="7">
        <f t="shared" si="4"/>
        <v>0</v>
      </c>
      <c r="K51" s="7">
        <f t="shared" si="4"/>
        <v>0</v>
      </c>
      <c r="L51" s="7">
        <f t="shared" si="4"/>
        <v>0</v>
      </c>
      <c r="M51" s="7">
        <f t="shared" ref="M51:P51" si="5" xml:space="preserve"> (M6-M6)/14.52</f>
        <v>0</v>
      </c>
      <c r="N51" s="7">
        <f t="shared" si="5"/>
        <v>0</v>
      </c>
      <c r="O51" s="7">
        <f t="shared" si="5"/>
        <v>0</v>
      </c>
      <c r="P51" s="7">
        <f t="shared" si="5"/>
        <v>0</v>
      </c>
    </row>
    <row r="52" spans="1:16" x14ac:dyDescent="0.2">
      <c r="A52" s="1">
        <v>4</v>
      </c>
      <c r="B52" s="5">
        <v>0</v>
      </c>
      <c r="C52" s="7">
        <f xml:space="preserve"> (C7-C7)/14.52</f>
        <v>0</v>
      </c>
      <c r="D52" s="7">
        <f t="shared" ref="D52:L52" si="6" xml:space="preserve"> (D7-D7)/14.52</f>
        <v>0</v>
      </c>
      <c r="E52" s="7">
        <f t="shared" si="6"/>
        <v>0</v>
      </c>
      <c r="F52" s="7">
        <f t="shared" si="6"/>
        <v>0</v>
      </c>
      <c r="G52" s="7">
        <f t="shared" si="6"/>
        <v>0</v>
      </c>
      <c r="H52" s="7">
        <f t="shared" si="6"/>
        <v>0</v>
      </c>
      <c r="I52" s="7">
        <f t="shared" si="6"/>
        <v>0</v>
      </c>
      <c r="J52" s="7">
        <f t="shared" si="6"/>
        <v>0</v>
      </c>
      <c r="K52" s="7">
        <f t="shared" si="6"/>
        <v>0</v>
      </c>
      <c r="L52" s="7">
        <f t="shared" si="6"/>
        <v>0</v>
      </c>
      <c r="M52" s="7">
        <f t="shared" ref="M52:P52" si="7" xml:space="preserve"> (M7-M7)/14.52</f>
        <v>0</v>
      </c>
      <c r="N52" s="7">
        <f t="shared" si="7"/>
        <v>0</v>
      </c>
      <c r="O52" s="7">
        <f t="shared" si="7"/>
        <v>0</v>
      </c>
      <c r="P52" s="7">
        <f t="shared" si="7"/>
        <v>0</v>
      </c>
    </row>
    <row r="53" spans="1:16" x14ac:dyDescent="0.2">
      <c r="A53" s="1">
        <v>5</v>
      </c>
      <c r="B53" s="5">
        <v>0</v>
      </c>
      <c r="C53" s="7">
        <f xml:space="preserve"> (C8-C8)/14.52</f>
        <v>0</v>
      </c>
      <c r="D53" s="7">
        <f t="shared" ref="D53:L53" si="8" xml:space="preserve"> (D8-D8)/14.52</f>
        <v>0</v>
      </c>
      <c r="E53" s="7">
        <f t="shared" si="8"/>
        <v>0</v>
      </c>
      <c r="F53" s="7">
        <f t="shared" si="8"/>
        <v>0</v>
      </c>
      <c r="G53" s="7">
        <f t="shared" si="8"/>
        <v>0</v>
      </c>
      <c r="H53" s="7">
        <f t="shared" si="8"/>
        <v>0</v>
      </c>
      <c r="I53" s="7">
        <f t="shared" si="8"/>
        <v>0</v>
      </c>
      <c r="J53" s="7">
        <f t="shared" si="8"/>
        <v>0</v>
      </c>
      <c r="K53" s="7">
        <f t="shared" si="8"/>
        <v>0</v>
      </c>
      <c r="L53" s="7">
        <f t="shared" si="8"/>
        <v>0</v>
      </c>
      <c r="M53" s="7">
        <f t="shared" ref="M53:P53" si="9" xml:space="preserve"> (M8-M8)/14.52</f>
        <v>0</v>
      </c>
      <c r="N53" s="7">
        <f t="shared" si="9"/>
        <v>0</v>
      </c>
      <c r="O53" s="7">
        <f t="shared" si="9"/>
        <v>0</v>
      </c>
      <c r="P53" s="7">
        <f t="shared" si="9"/>
        <v>0</v>
      </c>
    </row>
    <row r="54" spans="1:16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">
      <c r="A55" s="1">
        <v>1</v>
      </c>
      <c r="B55" s="5">
        <v>10</v>
      </c>
      <c r="C55" s="7">
        <f xml:space="preserve"> (C10-C4)/14.52</f>
        <v>6.1294765840220365E-3</v>
      </c>
      <c r="D55" s="7">
        <f t="shared" ref="D55:L55" si="10" xml:space="preserve"> (D10-D4)/14.52</f>
        <v>5.9917355371900804E-3</v>
      </c>
      <c r="E55" s="7">
        <f t="shared" si="10"/>
        <v>6.5426997245179126E-3</v>
      </c>
      <c r="F55" s="7">
        <f t="shared" si="10"/>
        <v>5.8539944903581243E-3</v>
      </c>
      <c r="G55" s="7">
        <f xml:space="preserve"> (G10-G4)/14.52</f>
        <v>9.9173553719008271E-3</v>
      </c>
      <c r="H55" s="7">
        <f t="shared" si="10"/>
        <v>5.3030303030302999E-3</v>
      </c>
      <c r="I55" s="7">
        <f t="shared" si="10"/>
        <v>9.2286501377410405E-3</v>
      </c>
      <c r="J55" s="7">
        <f t="shared" si="10"/>
        <v>5.6473829201101906E-3</v>
      </c>
      <c r="K55" s="7">
        <f t="shared" si="10"/>
        <v>3.0303030303030329E-3</v>
      </c>
      <c r="L55" s="7">
        <f t="shared" si="10"/>
        <v>3.0303030303030329E-3</v>
      </c>
      <c r="M55" s="7">
        <f t="shared" ref="M55:P55" si="11" xml:space="preserve"> (M10-M4)/14.52</f>
        <v>3.3057851239669451E-3</v>
      </c>
      <c r="N55" s="7">
        <f t="shared" si="11"/>
        <v>8.2644628099173628E-4</v>
      </c>
      <c r="O55" s="7">
        <f t="shared" si="11"/>
        <v>3.2369146005509671E-3</v>
      </c>
      <c r="P55" s="7">
        <f t="shared" si="11"/>
        <v>5.3030303030303077E-3</v>
      </c>
    </row>
    <row r="56" spans="1:16" x14ac:dyDescent="0.2">
      <c r="A56" s="1">
        <v>2</v>
      </c>
      <c r="B56" s="5">
        <v>10</v>
      </c>
      <c r="C56" s="7">
        <f t="shared" ref="C56:L59" si="12" xml:space="preserve"> (C11-C5)/14.52</f>
        <v>6.0606060606060589E-3</v>
      </c>
      <c r="D56" s="7">
        <f t="shared" si="12"/>
        <v>5.440771349862256E-3</v>
      </c>
      <c r="E56" s="7">
        <f t="shared" si="12"/>
        <v>7.0936639118457361E-3</v>
      </c>
      <c r="F56" s="7">
        <f t="shared" si="12"/>
        <v>5.8539944903581243E-3</v>
      </c>
      <c r="G56" s="7">
        <f xml:space="preserve"> (G11-G5)/14.52</f>
        <v>8.4022038567493108E-3</v>
      </c>
      <c r="H56" s="7">
        <f t="shared" si="12"/>
        <v>5.0964187327823662E-3</v>
      </c>
      <c r="I56" s="7">
        <f t="shared" si="12"/>
        <v>9.2286501377410405E-3</v>
      </c>
      <c r="J56" s="7">
        <f t="shared" si="12"/>
        <v>5.7851239669421467E-3</v>
      </c>
      <c r="K56" s="7">
        <f t="shared" si="12"/>
        <v>2.8236914600550992E-3</v>
      </c>
      <c r="L56" s="7">
        <f t="shared" si="12"/>
        <v>4.1322314049586814E-4</v>
      </c>
      <c r="M56" s="7">
        <f t="shared" ref="M56:P56" si="13" xml:space="preserve"> (M11-M5)/14.52</f>
        <v>3.5123966942148793E-3</v>
      </c>
      <c r="N56" s="7">
        <f t="shared" si="13"/>
        <v>1.5840220385674945E-3</v>
      </c>
      <c r="O56" s="7">
        <f t="shared" si="13"/>
        <v>3.3746556473829232E-3</v>
      </c>
      <c r="P56" s="7">
        <f t="shared" si="13"/>
        <v>8.2644628099173628E-4</v>
      </c>
    </row>
    <row r="57" spans="1:16" x14ac:dyDescent="0.2">
      <c r="A57" s="1">
        <v>3</v>
      </c>
      <c r="B57" s="5">
        <v>10</v>
      </c>
      <c r="C57" s="7">
        <f t="shared" si="12"/>
        <v>5.8539944903581243E-3</v>
      </c>
      <c r="D57" s="7">
        <f t="shared" si="12"/>
        <v>5.3030303030303077E-3</v>
      </c>
      <c r="E57" s="7">
        <f t="shared" si="12"/>
        <v>7.7823691460055166E-3</v>
      </c>
      <c r="F57" s="7">
        <f t="shared" si="12"/>
        <v>6.1294765840220365E-3</v>
      </c>
      <c r="G57" s="7">
        <f xml:space="preserve"> (G12-G6)/14.52</f>
        <v>1.0330578512396688E-2</v>
      </c>
      <c r="H57" s="7">
        <f t="shared" si="12"/>
        <v>6.0606060606060658E-3</v>
      </c>
      <c r="I57" s="7">
        <f t="shared" si="12"/>
        <v>8.8154269972451713E-3</v>
      </c>
      <c r="J57" s="7">
        <f t="shared" si="12"/>
        <v>5.0964187327823662E-3</v>
      </c>
      <c r="K57" s="7">
        <f t="shared" si="12"/>
        <v>2.9614325068870549E-3</v>
      </c>
      <c r="L57" s="7">
        <f t="shared" si="12"/>
        <v>6.8870523415978023E-5</v>
      </c>
      <c r="M57" s="7">
        <f t="shared" ref="M57:P57" si="14" xml:space="preserve"> (M12-M6)/14.52</f>
        <v>3.6501377410468275E-3</v>
      </c>
      <c r="N57" s="7">
        <f t="shared" si="14"/>
        <v>6.1983471074380223E-4</v>
      </c>
      <c r="O57" s="7">
        <f t="shared" si="14"/>
        <v>3.5812672176308573E-3</v>
      </c>
      <c r="P57" s="7">
        <f t="shared" si="14"/>
        <v>1.7906336088154287E-3</v>
      </c>
    </row>
    <row r="58" spans="1:16" x14ac:dyDescent="0.2">
      <c r="A58" s="1">
        <v>4</v>
      </c>
      <c r="B58" s="5">
        <v>10</v>
      </c>
      <c r="C58" s="7">
        <f t="shared" si="12"/>
        <v>6.198347107438015E-3</v>
      </c>
      <c r="D58" s="7">
        <f t="shared" si="12"/>
        <v>5.5785123966942121E-3</v>
      </c>
      <c r="E58" s="7">
        <f t="shared" si="12"/>
        <v>8.3333333333333402E-3</v>
      </c>
      <c r="F58" s="7">
        <f t="shared" si="12"/>
        <v>5.0275482093663885E-3</v>
      </c>
      <c r="G58" s="7">
        <f xml:space="preserve"> (G13-G7)/14.52</f>
        <v>8.677685950413223E-3</v>
      </c>
      <c r="H58" s="7">
        <f t="shared" si="12"/>
        <v>5.6473829201101906E-3</v>
      </c>
      <c r="I58" s="7">
        <f t="shared" si="12"/>
        <v>1.0399449035812667E-2</v>
      </c>
      <c r="J58" s="7">
        <f t="shared" si="12"/>
        <v>5.7851239669421545E-3</v>
      </c>
      <c r="K58" s="7">
        <f t="shared" si="12"/>
        <v>3.168044077134989E-3</v>
      </c>
      <c r="L58" s="7">
        <f t="shared" si="12"/>
        <v>3.3057851239669451E-3</v>
      </c>
      <c r="M58" s="7">
        <f t="shared" ref="M58:P58" si="15" xml:space="preserve"> (M13-M7)/14.52</f>
        <v>3.168044077134989E-3</v>
      </c>
      <c r="N58" s="7">
        <f t="shared" si="15"/>
        <v>2.6859504132231431E-3</v>
      </c>
      <c r="O58" s="7">
        <f t="shared" si="15"/>
        <v>3.7878787878787915E-3</v>
      </c>
      <c r="P58" s="7">
        <f t="shared" si="15"/>
        <v>3.9944903581267252E-3</v>
      </c>
    </row>
    <row r="59" spans="1:16" x14ac:dyDescent="0.2">
      <c r="A59" s="1">
        <v>5</v>
      </c>
      <c r="B59" s="5">
        <v>10</v>
      </c>
      <c r="C59" s="7">
        <f t="shared" si="12"/>
        <v>6.1294765840220365E-3</v>
      </c>
      <c r="D59" s="7">
        <f t="shared" si="12"/>
        <v>5.9228650137741028E-3</v>
      </c>
      <c r="E59" s="7">
        <f t="shared" si="12"/>
        <v>7.1625344352617068E-3</v>
      </c>
      <c r="F59" s="7">
        <f t="shared" si="12"/>
        <v>5.9228650137741028E-3</v>
      </c>
      <c r="G59" s="7">
        <f xml:space="preserve"> (G14-G8)/14.52</f>
        <v>8.1267217630853986E-3</v>
      </c>
      <c r="H59" s="7"/>
      <c r="I59" s="7">
        <f t="shared" si="12"/>
        <v>7.9201101928374658E-3</v>
      </c>
      <c r="J59" s="7">
        <f t="shared" si="12"/>
        <v>5.9228650137741028E-3</v>
      </c>
      <c r="K59" s="7">
        <f t="shared" si="12"/>
        <v>2.7548209366391211E-3</v>
      </c>
      <c r="L59" s="7">
        <f t="shared" si="12"/>
        <v>3.2369146005509671E-3</v>
      </c>
      <c r="M59" s="7">
        <f t="shared" ref="M59:P59" si="16" xml:space="preserve"> (M14-M8)/14.52</f>
        <v>2.8925619834710772E-3</v>
      </c>
      <c r="N59" s="7">
        <f t="shared" si="16"/>
        <v>3.9256198347107476E-3</v>
      </c>
      <c r="O59" s="7">
        <f t="shared" si="16"/>
        <v>3.5812672176308573E-3</v>
      </c>
      <c r="P59" s="7">
        <f t="shared" si="16"/>
        <v>2.2727272727272748E-3</v>
      </c>
    </row>
    <row r="60" spans="1:16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">
      <c r="A61" s="1">
        <v>1</v>
      </c>
      <c r="B61" s="5">
        <v>20</v>
      </c>
      <c r="C61" s="7">
        <f xml:space="preserve"> (C16-C4)/14.52</f>
        <v>7.7134986225895312E-3</v>
      </c>
      <c r="D61" s="7">
        <f t="shared" ref="D61:L61" si="17" xml:space="preserve"> (D16-D4)/14.52</f>
        <v>7.5068870523415966E-3</v>
      </c>
      <c r="E61" s="7">
        <f t="shared" si="17"/>
        <v>8.6088154269972454E-3</v>
      </c>
      <c r="F61" s="7">
        <f t="shared" si="17"/>
        <v>7.5757575757575751E-3</v>
      </c>
      <c r="G61" s="7">
        <f t="shared" si="17"/>
        <v>1.122589531680441E-2</v>
      </c>
      <c r="H61" s="7">
        <f t="shared" si="17"/>
        <v>6.9559228650137731E-3</v>
      </c>
      <c r="I61" s="7">
        <f t="shared" si="17"/>
        <v>1.2327823691460051E-2</v>
      </c>
      <c r="J61" s="7">
        <f t="shared" si="17"/>
        <v>7.3002754820936629E-3</v>
      </c>
      <c r="K61" s="7">
        <f t="shared" si="17"/>
        <v>3.9944903581267252E-3</v>
      </c>
      <c r="L61" s="7">
        <f t="shared" si="17"/>
        <v>4.3388429752066159E-3</v>
      </c>
      <c r="M61" s="7">
        <f t="shared" ref="M61:P61" si="18" xml:space="preserve"> (M16-M4)/14.52</f>
        <v>4.1322314049586813E-3</v>
      </c>
      <c r="N61" s="7">
        <f t="shared" si="18"/>
        <v>1.4462809917355386E-3</v>
      </c>
      <c r="O61" s="7">
        <f t="shared" si="18"/>
        <v>4.2699724517906374E-3</v>
      </c>
      <c r="P61" s="7">
        <f t="shared" si="18"/>
        <v>6.4738292011019341E-3</v>
      </c>
    </row>
    <row r="62" spans="1:16" x14ac:dyDescent="0.2">
      <c r="A62" s="1">
        <v>2</v>
      </c>
      <c r="B62" s="5">
        <v>20</v>
      </c>
      <c r="C62" s="7">
        <f xml:space="preserve"> (C17-C5)/14.52</f>
        <v>7.8512396694214864E-3</v>
      </c>
      <c r="D62" s="7">
        <f t="shared" ref="D62:L62" si="19" xml:space="preserve"> (D17-D5)/14.52</f>
        <v>6.7493112947658385E-3</v>
      </c>
      <c r="E62" s="7">
        <f t="shared" si="19"/>
        <v>8.7465564738292007E-3</v>
      </c>
      <c r="F62" s="7">
        <f t="shared" si="19"/>
        <v>7.5068870523415966E-3</v>
      </c>
      <c r="G62" s="7">
        <f t="shared" si="19"/>
        <v>1.0261707988980719E-2</v>
      </c>
      <c r="H62" s="7">
        <f t="shared" si="19"/>
        <v>6.7493112947658385E-3</v>
      </c>
      <c r="I62" s="7">
        <f t="shared" si="19"/>
        <v>1.308539944903581E-2</v>
      </c>
      <c r="J62" s="7">
        <f t="shared" si="19"/>
        <v>7.5068870523415966E-3</v>
      </c>
      <c r="K62" s="7">
        <f t="shared" si="19"/>
        <v>3.7190082644628134E-3</v>
      </c>
      <c r="L62" s="7">
        <f t="shared" si="19"/>
        <v>1.1707988980716264E-3</v>
      </c>
      <c r="M62" s="7">
        <f t="shared" ref="M62:P62" si="20" xml:space="preserve"> (M17-M5)/14.52</f>
        <v>4.2699724517906374E-3</v>
      </c>
      <c r="N62" s="7">
        <f t="shared" si="20"/>
        <v>2.8236914600550992E-3</v>
      </c>
      <c r="O62" s="7">
        <f t="shared" si="20"/>
        <v>4.2699724517906374E-3</v>
      </c>
      <c r="P62" s="7">
        <f t="shared" si="20"/>
        <v>1.9972451790633626E-3</v>
      </c>
    </row>
    <row r="63" spans="1:16" x14ac:dyDescent="0.2">
      <c r="A63" s="1">
        <v>3</v>
      </c>
      <c r="B63" s="5">
        <v>20</v>
      </c>
      <c r="C63" s="7">
        <f xml:space="preserve"> (C18-C6)/14.52</f>
        <v>7.6446280991735527E-3</v>
      </c>
      <c r="D63" s="7">
        <f t="shared" ref="D63:L63" si="21" xml:space="preserve"> (D18-D6)/14.52</f>
        <v>6.8870523415978024E-3</v>
      </c>
      <c r="E63" s="7">
        <f t="shared" si="21"/>
        <v>9.7796143250688718E-3</v>
      </c>
      <c r="F63" s="7">
        <f t="shared" si="21"/>
        <v>7.8512396694214864E-3</v>
      </c>
      <c r="G63" s="7">
        <f t="shared" si="21"/>
        <v>1.239669421487603E-2</v>
      </c>
      <c r="H63" s="7">
        <f t="shared" si="21"/>
        <v>7.6446280991735605E-3</v>
      </c>
      <c r="I63" s="7">
        <f t="shared" si="21"/>
        <v>1.2190082644628095E-2</v>
      </c>
      <c r="J63" s="7">
        <f t="shared" si="21"/>
        <v>6.7493112947658385E-3</v>
      </c>
      <c r="K63" s="7">
        <f t="shared" si="21"/>
        <v>3.9256198347107476E-3</v>
      </c>
      <c r="L63" s="7">
        <f t="shared" si="21"/>
        <v>2.7548209366391209E-4</v>
      </c>
      <c r="M63" s="7">
        <f t="shared" ref="M63:P63" si="22" xml:space="preserve"> (M18-M6)/14.52</f>
        <v>4.2699724517906296E-3</v>
      </c>
      <c r="N63" s="7">
        <f t="shared" si="22"/>
        <v>1.4462809917355386E-3</v>
      </c>
      <c r="O63" s="7">
        <f t="shared" si="22"/>
        <v>4.5454545454545496E-3</v>
      </c>
      <c r="P63" s="7">
        <f t="shared" si="22"/>
        <v>2.2727272727272748E-3</v>
      </c>
    </row>
    <row r="64" spans="1:16" x14ac:dyDescent="0.2">
      <c r="A64" s="1">
        <v>4</v>
      </c>
      <c r="B64" s="5">
        <v>20</v>
      </c>
      <c r="C64" s="7">
        <f xml:space="preserve"> (C19-C7)/14.52</f>
        <v>7.9201101928374658E-3</v>
      </c>
      <c r="D64" s="7">
        <f t="shared" ref="D64:L64" si="23" xml:space="preserve"> (D19-D7)/14.52</f>
        <v>7.3691460055096414E-3</v>
      </c>
      <c r="E64" s="7">
        <f t="shared" si="23"/>
        <v>1.0743801652892564E-2</v>
      </c>
      <c r="F64" s="7">
        <f t="shared" si="23"/>
        <v>6.818181818181817E-3</v>
      </c>
      <c r="G64" s="7">
        <f t="shared" si="23"/>
        <v>1.1707988980716249E-2</v>
      </c>
      <c r="H64" s="7">
        <f t="shared" si="23"/>
        <v>7.0936639118457292E-3</v>
      </c>
      <c r="I64" s="7">
        <f t="shared" si="23"/>
        <v>1.4462809917355371E-2</v>
      </c>
      <c r="J64" s="7">
        <f t="shared" si="23"/>
        <v>7.3691460055096483E-3</v>
      </c>
      <c r="K64" s="7">
        <f t="shared" si="23"/>
        <v>3.8567493112947695E-3</v>
      </c>
      <c r="L64" s="7">
        <f t="shared" si="23"/>
        <v>4.476584022038572E-3</v>
      </c>
      <c r="M64" s="7">
        <f t="shared" ref="M64:P64" si="24" xml:space="preserve"> (M19-M7)/14.52</f>
        <v>3.8567493112947695E-3</v>
      </c>
      <c r="N64" s="7">
        <f t="shared" si="24"/>
        <v>3.5812672176308573E-3</v>
      </c>
      <c r="O64" s="7">
        <f t="shared" si="24"/>
        <v>4.6831955922865057E-3</v>
      </c>
      <c r="P64" s="7">
        <f t="shared" si="24"/>
        <v>5.8539944903581321E-3</v>
      </c>
    </row>
    <row r="65" spans="1:16" x14ac:dyDescent="0.2">
      <c r="A65" s="1">
        <v>5</v>
      </c>
      <c r="B65" s="5">
        <v>20</v>
      </c>
      <c r="C65" s="7">
        <f xml:space="preserve"> (C20-C8)/14.52</f>
        <v>7.6446280991735527E-3</v>
      </c>
      <c r="D65" s="7">
        <f t="shared" ref="D65:L65" si="25" xml:space="preserve"> (D20-D8)/14.52</f>
        <v>7.5757575757575751E-3</v>
      </c>
      <c r="E65" s="7">
        <f t="shared" si="25"/>
        <v>1.0468319559228645E-2</v>
      </c>
      <c r="F65" s="7">
        <f t="shared" si="25"/>
        <v>7.6446280991735527E-3</v>
      </c>
      <c r="G65" s="7">
        <f t="shared" si="25"/>
        <v>1.0812672176308543E-2</v>
      </c>
      <c r="H65" s="7">
        <f t="shared" si="25"/>
        <v>6.4738292011019263E-3</v>
      </c>
      <c r="I65" s="7">
        <f t="shared" si="25"/>
        <v>9.7796143250688649E-3</v>
      </c>
      <c r="J65" s="7">
        <f t="shared" si="25"/>
        <v>7.6446280991735527E-3</v>
      </c>
      <c r="K65" s="7">
        <f t="shared" si="25"/>
        <v>3.5123966942148793E-3</v>
      </c>
      <c r="L65" s="7">
        <f t="shared" si="25"/>
        <v>4.3388429752066159E-3</v>
      </c>
      <c r="M65" s="7">
        <f t="shared" ref="M65:P65" si="26" xml:space="preserve"> (M20-M8)/14.52</f>
        <v>3.6501377410468354E-3</v>
      </c>
      <c r="N65" s="7">
        <f t="shared" si="26"/>
        <v>5.0275482093663955E-3</v>
      </c>
      <c r="O65" s="7">
        <f t="shared" si="26"/>
        <v>4.4077134986225935E-3</v>
      </c>
      <c r="P65" s="7">
        <f t="shared" si="26"/>
        <v>3.3746556473829232E-3</v>
      </c>
    </row>
    <row r="66" spans="1:16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">
      <c r="A67" s="1">
        <v>1</v>
      </c>
      <c r="B67" s="5">
        <v>30</v>
      </c>
      <c r="C67" s="7">
        <f xml:space="preserve"> (C22-C4)/14.52</f>
        <v>9.0220385674931059E-3</v>
      </c>
      <c r="D67" s="7">
        <f t="shared" ref="D67:L67" si="27" xml:space="preserve"> (D22-D4)/14.52</f>
        <v>8.9531680440771283E-3</v>
      </c>
      <c r="E67" s="7">
        <f t="shared" si="27"/>
        <v>9.8484848484848495E-3</v>
      </c>
      <c r="F67" s="7">
        <f t="shared" si="27"/>
        <v>9.0220385674931129E-3</v>
      </c>
      <c r="G67" s="7">
        <f t="shared" si="27"/>
        <v>1.267217630853994E-2</v>
      </c>
      <c r="H67" s="7">
        <f t="shared" si="27"/>
        <v>8.1267217630853986E-3</v>
      </c>
      <c r="I67" s="7">
        <f t="shared" si="27"/>
        <v>1.4118457300275472E-2</v>
      </c>
      <c r="J67" s="7">
        <f t="shared" si="27"/>
        <v>8.7465564738292007E-3</v>
      </c>
      <c r="K67" s="7">
        <f t="shared" si="27"/>
        <v>4.3388429752066159E-3</v>
      </c>
      <c r="L67" s="7">
        <f t="shared" si="27"/>
        <v>5.096418732782374E-3</v>
      </c>
      <c r="M67" s="7">
        <f t="shared" ref="M67:P67" si="28" xml:space="preserve"> (M22-M4)/14.52</f>
        <v>4.7520661157024833E-3</v>
      </c>
      <c r="N67" s="7">
        <f t="shared" si="28"/>
        <v>2.1349862258953187E-3</v>
      </c>
      <c r="O67" s="7">
        <f t="shared" si="28"/>
        <v>5.096418732782374E-3</v>
      </c>
      <c r="P67" s="7">
        <f t="shared" si="28"/>
        <v>7.5068870523415966E-3</v>
      </c>
    </row>
    <row r="68" spans="1:16" x14ac:dyDescent="0.2">
      <c r="A68" s="1">
        <v>2</v>
      </c>
      <c r="B68" s="5">
        <v>30</v>
      </c>
      <c r="C68" s="7">
        <f t="shared" ref="C68:L71" si="29" xml:space="preserve"> (C23-C5)/14.52</f>
        <v>9.2975206611570181E-3</v>
      </c>
      <c r="D68" s="7">
        <f t="shared" si="29"/>
        <v>7.9889807162534434E-3</v>
      </c>
      <c r="E68" s="7">
        <f t="shared" si="29"/>
        <v>1.1294765840220388E-2</v>
      </c>
      <c r="F68" s="7">
        <f t="shared" si="29"/>
        <v>8.9531680440771352E-3</v>
      </c>
      <c r="G68" s="7">
        <f t="shared" si="29"/>
        <v>1.191460055096419E-2</v>
      </c>
      <c r="H68" s="7">
        <f t="shared" si="29"/>
        <v>7.9201101928374658E-3</v>
      </c>
      <c r="I68" s="7">
        <f t="shared" si="29"/>
        <v>1.6460055096418725E-2</v>
      </c>
      <c r="J68" s="7">
        <f t="shared" si="29"/>
        <v>8.81542699724518E-3</v>
      </c>
      <c r="K68" s="7">
        <f t="shared" si="29"/>
        <v>4.0633608815427037E-3</v>
      </c>
      <c r="L68" s="7">
        <f t="shared" si="29"/>
        <v>1.7217630853994506E-3</v>
      </c>
      <c r="M68" s="7">
        <f t="shared" ref="M68:P68" si="30" xml:space="preserve"> (M23-M5)/14.52</f>
        <v>4.7520661157024833E-3</v>
      </c>
      <c r="N68" s="7">
        <f t="shared" si="30"/>
        <v>3.9944903581267252E-3</v>
      </c>
      <c r="O68" s="7">
        <f t="shared" si="30"/>
        <v>5.8539944903581321E-3</v>
      </c>
      <c r="P68" s="7">
        <f t="shared" si="30"/>
        <v>2.7548209366391211E-3</v>
      </c>
    </row>
    <row r="69" spans="1:16" x14ac:dyDescent="0.2">
      <c r="A69" s="1">
        <v>3</v>
      </c>
      <c r="B69" s="5">
        <v>30</v>
      </c>
      <c r="C69" s="7">
        <f t="shared" si="29"/>
        <v>9.2286501377410405E-3</v>
      </c>
      <c r="D69" s="7">
        <f t="shared" si="29"/>
        <v>8.0578512396694297E-3</v>
      </c>
      <c r="E69" s="7">
        <f t="shared" si="29"/>
        <v>1.1294765840220388E-2</v>
      </c>
      <c r="F69" s="7">
        <f t="shared" si="29"/>
        <v>9.5041322314049527E-3</v>
      </c>
      <c r="G69" s="7">
        <f t="shared" si="29"/>
        <v>1.4600550964187319E-2</v>
      </c>
      <c r="H69" s="7">
        <f t="shared" si="29"/>
        <v>8.81542699724518E-3</v>
      </c>
      <c r="I69" s="7">
        <f t="shared" si="29"/>
        <v>1.384297520661156E-2</v>
      </c>
      <c r="J69" s="7">
        <f t="shared" si="29"/>
        <v>7.9201101928374658E-3</v>
      </c>
      <c r="K69" s="7">
        <f t="shared" si="29"/>
        <v>4.3388429752066159E-3</v>
      </c>
      <c r="L69" s="7">
        <f t="shared" si="29"/>
        <v>4.8209366391184619E-4</v>
      </c>
      <c r="M69" s="7">
        <f t="shared" ref="M69:P69" si="31" xml:space="preserve"> (M24-M6)/14.52</f>
        <v>4.6143250688705202E-3</v>
      </c>
      <c r="N69" s="7">
        <f t="shared" si="31"/>
        <v>2.1349862258953187E-3</v>
      </c>
      <c r="O69" s="7">
        <f t="shared" si="31"/>
        <v>5.7851239669421545E-3</v>
      </c>
      <c r="P69" s="7">
        <f t="shared" si="31"/>
        <v>2.7548209366391211E-3</v>
      </c>
    </row>
    <row r="70" spans="1:16" x14ac:dyDescent="0.2">
      <c r="A70" s="1">
        <v>4</v>
      </c>
      <c r="B70" s="5">
        <v>30</v>
      </c>
      <c r="C70" s="7">
        <f t="shared" si="29"/>
        <v>9.6418732782369166E-3</v>
      </c>
      <c r="D70" s="7">
        <f t="shared" si="29"/>
        <v>8.81542699724518E-3</v>
      </c>
      <c r="E70" s="7">
        <f t="shared" si="29"/>
        <v>1.2534435261707992E-2</v>
      </c>
      <c r="F70" s="7">
        <f t="shared" si="29"/>
        <v>8.3333333333333332E-3</v>
      </c>
      <c r="G70" s="7">
        <f t="shared" si="29"/>
        <v>1.3774104683195582E-2</v>
      </c>
      <c r="H70" s="7">
        <f t="shared" si="29"/>
        <v>8.3333333333333332E-3</v>
      </c>
      <c r="I70" s="7">
        <f t="shared" si="29"/>
        <v>1.6666666666666666E-2</v>
      </c>
      <c r="J70" s="7">
        <f t="shared" si="29"/>
        <v>8.4710743801652902E-3</v>
      </c>
      <c r="K70" s="7">
        <f t="shared" si="29"/>
        <v>4.1322314049586813E-3</v>
      </c>
      <c r="L70" s="7">
        <f t="shared" si="29"/>
        <v>5.1652892561983516E-3</v>
      </c>
      <c r="M70" s="7">
        <f t="shared" ref="M70:P70" si="32" xml:space="preserve"> (M25-M7)/14.52</f>
        <v>4.4077134986225935E-3</v>
      </c>
      <c r="N70" s="7">
        <f t="shared" si="32"/>
        <v>4.2011019283746598E-3</v>
      </c>
      <c r="O70" s="7">
        <f t="shared" si="32"/>
        <v>6.1983471074380219E-3</v>
      </c>
      <c r="P70" s="7">
        <f t="shared" si="32"/>
        <v>6.6115702479338902E-3</v>
      </c>
    </row>
    <row r="71" spans="1:16" x14ac:dyDescent="0.2">
      <c r="A71" s="1">
        <v>5</v>
      </c>
      <c r="B71" s="5">
        <v>30</v>
      </c>
      <c r="C71" s="7">
        <f t="shared" si="29"/>
        <v>9.0909090909090835E-3</v>
      </c>
      <c r="D71" s="7">
        <f t="shared" si="29"/>
        <v>9.0909090909090835E-3</v>
      </c>
      <c r="E71" s="7">
        <f t="shared" si="29"/>
        <v>1.2878787878787875E-2</v>
      </c>
      <c r="F71" s="7">
        <f t="shared" si="29"/>
        <v>8.81542699724518E-3</v>
      </c>
      <c r="G71" s="7">
        <f t="shared" si="29"/>
        <v>1.3429752066115706E-2</v>
      </c>
      <c r="H71" s="7">
        <f t="shared" si="29"/>
        <v>7.6446280991735527E-3</v>
      </c>
      <c r="I71" s="7">
        <f t="shared" si="29"/>
        <v>1.1707988980716249E-2</v>
      </c>
      <c r="J71" s="7">
        <f t="shared" si="29"/>
        <v>8.5399449035812678E-3</v>
      </c>
      <c r="K71" s="7">
        <f t="shared" si="29"/>
        <v>3.9256198347107476E-3</v>
      </c>
      <c r="L71" s="7">
        <f t="shared" si="29"/>
        <v>5.2341597796143301E-3</v>
      </c>
      <c r="M71" s="7">
        <f t="shared" ref="M71:P71" si="33" xml:space="preserve"> (M26-M8)/14.52</f>
        <v>4.2699724517906374E-3</v>
      </c>
      <c r="N71" s="7">
        <f t="shared" si="33"/>
        <v>5.716253443526176E-3</v>
      </c>
      <c r="O71" s="7">
        <f t="shared" si="33"/>
        <v>6.0606060606060658E-3</v>
      </c>
      <c r="P71" s="7">
        <f t="shared" si="33"/>
        <v>4.2011019283746598E-3</v>
      </c>
    </row>
    <row r="72" spans="1:16" x14ac:dyDescent="0.2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1">
        <v>1</v>
      </c>
      <c r="B73" s="5">
        <v>40</v>
      </c>
      <c r="C73" s="7">
        <f xml:space="preserve"> (C28-C4)/14.52</f>
        <v>1.0468319559228645E-2</v>
      </c>
      <c r="D73" s="7">
        <f t="shared" ref="D73:L73" si="34" xml:space="preserve"> (D28-D4)/14.52</f>
        <v>9.8484848484848425E-3</v>
      </c>
      <c r="E73" s="7">
        <f t="shared" si="34"/>
        <v>1.0606060606060608E-2</v>
      </c>
      <c r="F73" s="7">
        <f t="shared" si="34"/>
        <v>1.06060606060606E-2</v>
      </c>
      <c r="G73" s="7">
        <f t="shared" si="34"/>
        <v>1.3842975206611575E-2</v>
      </c>
      <c r="H73" s="7">
        <f t="shared" si="34"/>
        <v>9.2975206611570181E-3</v>
      </c>
      <c r="I73" s="7">
        <f t="shared" si="34"/>
        <v>1.515151515151515E-2</v>
      </c>
      <c r="J73" s="7">
        <f t="shared" si="34"/>
        <v>1.0055096418732777E-2</v>
      </c>
      <c r="K73" s="7">
        <f t="shared" si="34"/>
        <v>4.5454545454545496E-3</v>
      </c>
      <c r="L73" s="7">
        <f t="shared" si="34"/>
        <v>5.6473829201101984E-3</v>
      </c>
      <c r="M73" s="7">
        <f t="shared" ref="M73:P73" si="35" xml:space="preserve"> (M28-M4)/14.52</f>
        <v>5.3719008264462862E-3</v>
      </c>
      <c r="N73" s="7">
        <f t="shared" si="35"/>
        <v>2.7548209366391211E-3</v>
      </c>
      <c r="O73" s="7">
        <f t="shared" si="35"/>
        <v>5.7851239669421545E-3</v>
      </c>
      <c r="P73" s="7">
        <f t="shared" si="35"/>
        <v>8.1267217630853986E-3</v>
      </c>
    </row>
    <row r="74" spans="1:16" x14ac:dyDescent="0.2">
      <c r="A74" s="1">
        <v>2</v>
      </c>
      <c r="B74" s="5">
        <v>40</v>
      </c>
      <c r="C74" s="7">
        <f t="shared" ref="C74:L77" si="36" xml:space="preserve"> (C29-C5)/14.52</f>
        <v>1.0674931129476579E-2</v>
      </c>
      <c r="D74" s="7">
        <f t="shared" si="36"/>
        <v>8.9531680440771283E-3</v>
      </c>
      <c r="E74" s="7">
        <f t="shared" si="36"/>
        <v>1.3085399449035817E-2</v>
      </c>
      <c r="F74" s="7">
        <f t="shared" si="36"/>
        <v>1.0468319559228645E-2</v>
      </c>
      <c r="G74" s="7">
        <f t="shared" si="36"/>
        <v>1.3016528925619832E-2</v>
      </c>
      <c r="H74" s="7">
        <f t="shared" si="36"/>
        <v>9.0909090909090835E-3</v>
      </c>
      <c r="I74" s="7">
        <f t="shared" si="36"/>
        <v>1.859504132231405E-2</v>
      </c>
      <c r="J74" s="7">
        <f t="shared" si="36"/>
        <v>1.0330578512396688E-2</v>
      </c>
      <c r="K74" s="7">
        <f t="shared" si="36"/>
        <v>4.2011019283746598E-3</v>
      </c>
      <c r="L74" s="7">
        <f t="shared" si="36"/>
        <v>2.2038567493112967E-3</v>
      </c>
      <c r="M74" s="7">
        <f t="shared" ref="M74:P74" si="37" xml:space="preserve"> (M29-M5)/14.52</f>
        <v>5.3030303030303077E-3</v>
      </c>
      <c r="N74" s="7">
        <f t="shared" si="37"/>
        <v>4.8209366391184618E-3</v>
      </c>
      <c r="O74" s="7">
        <f t="shared" si="37"/>
        <v>6.6804407713498687E-3</v>
      </c>
      <c r="P74" s="7">
        <f t="shared" si="37"/>
        <v>3.2369146005509671E-3</v>
      </c>
    </row>
    <row r="75" spans="1:16" x14ac:dyDescent="0.2">
      <c r="A75" s="1">
        <v>3</v>
      </c>
      <c r="B75" s="5">
        <v>40</v>
      </c>
      <c r="C75" s="7">
        <f t="shared" si="36"/>
        <v>1.0674931129476579E-2</v>
      </c>
      <c r="D75" s="7">
        <f t="shared" si="36"/>
        <v>8.9531680440771352E-3</v>
      </c>
      <c r="E75" s="7">
        <f t="shared" si="36"/>
        <v>1.2878787878787884E-2</v>
      </c>
      <c r="F75" s="7">
        <f t="shared" si="36"/>
        <v>1.1019283746556469E-2</v>
      </c>
      <c r="G75" s="7">
        <f t="shared" si="36"/>
        <v>1.5909090909090907E-2</v>
      </c>
      <c r="H75" s="7">
        <f t="shared" si="36"/>
        <v>9.9862258953168064E-3</v>
      </c>
      <c r="I75" s="7">
        <f t="shared" si="36"/>
        <v>1.6046831955922856E-2</v>
      </c>
      <c r="J75" s="7">
        <f t="shared" si="36"/>
        <v>9.1597796143250611E-3</v>
      </c>
      <c r="K75" s="7">
        <f t="shared" si="36"/>
        <v>4.476584022038572E-3</v>
      </c>
      <c r="L75" s="7">
        <f t="shared" si="36"/>
        <v>6.8870523415978028E-4</v>
      </c>
      <c r="M75" s="7">
        <f t="shared" ref="M75:P75" si="38" xml:space="preserve"> (M30-M6)/14.52</f>
        <v>5.3030303030302999E-3</v>
      </c>
      <c r="N75" s="7">
        <f t="shared" si="38"/>
        <v>2.8236914600550992E-3</v>
      </c>
      <c r="O75" s="7">
        <f t="shared" si="38"/>
        <v>6.4049586776859565E-3</v>
      </c>
      <c r="P75" s="7">
        <f t="shared" si="38"/>
        <v>3.2369146005509671E-3</v>
      </c>
    </row>
    <row r="76" spans="1:16" x14ac:dyDescent="0.2">
      <c r="A76" s="1">
        <v>4</v>
      </c>
      <c r="B76" s="5">
        <v>40</v>
      </c>
      <c r="C76" s="7">
        <f t="shared" si="36"/>
        <v>1.1776859504132226E-2</v>
      </c>
      <c r="D76" s="7">
        <f t="shared" si="36"/>
        <v>9.6418732782369079E-3</v>
      </c>
      <c r="E76" s="7">
        <f t="shared" si="36"/>
        <v>1.4393939393939391E-2</v>
      </c>
      <c r="F76" s="7">
        <f t="shared" si="36"/>
        <v>9.7796143250688649E-3</v>
      </c>
      <c r="G76" s="7">
        <f t="shared" si="36"/>
        <v>1.5702479338842966E-2</v>
      </c>
      <c r="H76" s="7">
        <f t="shared" si="36"/>
        <v>9.5730027548209303E-3</v>
      </c>
      <c r="I76" s="7">
        <f t="shared" si="36"/>
        <v>1.9146005509641875E-2</v>
      </c>
      <c r="J76" s="7">
        <f t="shared" si="36"/>
        <v>9.9173553719008271E-3</v>
      </c>
      <c r="K76" s="7">
        <f t="shared" si="36"/>
        <v>4.2699724517906374E-3</v>
      </c>
      <c r="L76" s="7">
        <f t="shared" si="36"/>
        <v>5.9228650137741097E-3</v>
      </c>
      <c r="M76" s="7">
        <f t="shared" ref="M76:P76" si="39" xml:space="preserve"> (M31-M7)/14.52</f>
        <v>4.8209366391184618E-3</v>
      </c>
      <c r="N76" s="7">
        <f t="shared" si="39"/>
        <v>4.9586776859504179E-3</v>
      </c>
      <c r="O76" s="7">
        <f t="shared" si="39"/>
        <v>6.8870523415978024E-3</v>
      </c>
      <c r="P76" s="7">
        <f t="shared" si="39"/>
        <v>7.713498622589539E-3</v>
      </c>
    </row>
    <row r="77" spans="1:16" x14ac:dyDescent="0.2">
      <c r="A77" s="1">
        <v>5</v>
      </c>
      <c r="B77" s="5">
        <v>40</v>
      </c>
      <c r="C77" s="7">
        <f t="shared" si="36"/>
        <v>1.0468319559228645E-2</v>
      </c>
      <c r="D77" s="7">
        <f t="shared" si="36"/>
        <v>9.9862258953167977E-3</v>
      </c>
      <c r="E77" s="7">
        <f t="shared" si="36"/>
        <v>1.4462809917355371E-2</v>
      </c>
      <c r="F77" s="7">
        <f t="shared" si="36"/>
        <v>9.9862258953167977E-3</v>
      </c>
      <c r="G77" s="7">
        <f t="shared" si="36"/>
        <v>1.9765840220385685E-2</v>
      </c>
      <c r="H77" s="7">
        <f t="shared" si="36"/>
        <v>8.7465564738292007E-3</v>
      </c>
      <c r="I77" s="7">
        <f t="shared" si="36"/>
        <v>1.308539944903581E-2</v>
      </c>
      <c r="J77" s="7">
        <f t="shared" si="36"/>
        <v>9.8484848484848425E-3</v>
      </c>
      <c r="K77" s="7">
        <f t="shared" si="36"/>
        <v>4.1322314049586813E-3</v>
      </c>
      <c r="L77" s="7">
        <f t="shared" si="36"/>
        <v>5.7851239669421545E-3</v>
      </c>
      <c r="M77" s="7">
        <f t="shared" ref="M77:P77" si="40" xml:space="preserve"> (M32-M8)/14.52</f>
        <v>4.6143250688705281E-3</v>
      </c>
      <c r="N77" s="7">
        <f t="shared" si="40"/>
        <v>6.4049586776859565E-3</v>
      </c>
      <c r="O77" s="7">
        <f t="shared" si="40"/>
        <v>7.0936639118457361E-3</v>
      </c>
      <c r="P77" s="7">
        <f t="shared" si="40"/>
        <v>5.1652892561983516E-3</v>
      </c>
    </row>
    <row r="78" spans="1:16" x14ac:dyDescent="0.2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">
      <c r="A79" s="1">
        <v>1</v>
      </c>
      <c r="B79" s="5">
        <v>50</v>
      </c>
      <c r="C79" s="7">
        <f xml:space="preserve"> (C34-C4)/14.52</f>
        <v>1.2121212121212118E-2</v>
      </c>
      <c r="D79" s="7">
        <f t="shared" ref="D79:L79" si="41" xml:space="preserve"> (D34-D4)/14.52</f>
        <v>1.0743801652892557E-2</v>
      </c>
      <c r="E79" s="7">
        <f t="shared" si="41"/>
        <v>1.3223140495867765E-2</v>
      </c>
      <c r="F79" s="7">
        <f t="shared" si="41"/>
        <v>1.239669421487603E-2</v>
      </c>
      <c r="G79" s="7">
        <f t="shared" si="41"/>
        <v>1.4807162534435267E-2</v>
      </c>
      <c r="H79" s="7">
        <f t="shared" si="41"/>
        <v>1.0537190082644622E-2</v>
      </c>
      <c r="I79" s="7">
        <f t="shared" si="41"/>
        <v>1.6115702479338842E-2</v>
      </c>
      <c r="J79" s="7">
        <f t="shared" si="41"/>
        <v>1.1707988980716249E-2</v>
      </c>
      <c r="K79" s="7">
        <f t="shared" si="41"/>
        <v>4.9586776859504179E-3</v>
      </c>
      <c r="L79" s="7">
        <f t="shared" si="41"/>
        <v>6.4049586776859565E-3</v>
      </c>
      <c r="M79" s="7">
        <f t="shared" ref="M79:P79" si="42" xml:space="preserve"> (M34-M4)/14.52</f>
        <v>5.716253443526176E-3</v>
      </c>
      <c r="N79" s="7">
        <f t="shared" si="42"/>
        <v>3.3746556473829232E-3</v>
      </c>
      <c r="O79" s="7">
        <f t="shared" si="42"/>
        <v>6.4049586776859565E-3</v>
      </c>
      <c r="P79" s="7">
        <f t="shared" si="42"/>
        <v>9.1597796143250698E-3</v>
      </c>
    </row>
    <row r="80" spans="1:16" x14ac:dyDescent="0.2">
      <c r="A80" s="1">
        <v>2</v>
      </c>
      <c r="B80" s="5">
        <v>50</v>
      </c>
      <c r="C80" s="7">
        <f t="shared" ref="C80:L83" si="43" xml:space="preserve"> (C35-C5)/14.52</f>
        <v>1.2258953168044073E-2</v>
      </c>
      <c r="D80" s="7">
        <f t="shared" si="43"/>
        <v>9.9862258953167977E-3</v>
      </c>
      <c r="E80" s="7">
        <f t="shared" si="43"/>
        <v>1.4669421487603303E-2</v>
      </c>
      <c r="F80" s="7">
        <f t="shared" si="43"/>
        <v>1.1845730027548206E-2</v>
      </c>
      <c r="G80" s="7">
        <f t="shared" si="43"/>
        <v>1.3429752066115699E-2</v>
      </c>
      <c r="H80" s="7">
        <f t="shared" si="43"/>
        <v>1.0330578512396688E-2</v>
      </c>
      <c r="I80" s="7">
        <f t="shared" si="43"/>
        <v>1.9283746556473833E-2</v>
      </c>
      <c r="J80" s="7">
        <f t="shared" si="43"/>
        <v>1.1914600550964183E-2</v>
      </c>
      <c r="K80" s="7">
        <f t="shared" si="43"/>
        <v>4.476584022038572E-3</v>
      </c>
      <c r="L80" s="7">
        <f t="shared" si="43"/>
        <v>2.548209366391187E-3</v>
      </c>
      <c r="M80" s="7">
        <f t="shared" ref="M80:P80" si="44" xml:space="preserve"> (M35-M5)/14.52</f>
        <v>5.5096418732782423E-3</v>
      </c>
      <c r="N80" s="7">
        <f t="shared" si="44"/>
        <v>5.4407713498622638E-3</v>
      </c>
      <c r="O80" s="7">
        <f t="shared" si="44"/>
        <v>7.2314049586776922E-3</v>
      </c>
      <c r="P80" s="7">
        <f t="shared" si="44"/>
        <v>3.7878787878787915E-3</v>
      </c>
    </row>
    <row r="81" spans="1:16" x14ac:dyDescent="0.2">
      <c r="A81" s="1">
        <v>3</v>
      </c>
      <c r="B81" s="5">
        <v>50</v>
      </c>
      <c r="C81" s="7">
        <f t="shared" si="43"/>
        <v>1.2947658402203853E-2</v>
      </c>
      <c r="D81" s="7">
        <f t="shared" si="43"/>
        <v>9.8484848484848495E-3</v>
      </c>
      <c r="E81" s="7">
        <f t="shared" si="43"/>
        <v>1.4325068870523414E-2</v>
      </c>
      <c r="F81" s="7">
        <f t="shared" si="43"/>
        <v>1.3154269972451787E-2</v>
      </c>
      <c r="G81" s="7">
        <f t="shared" si="43"/>
        <v>1.6804407713498615E-2</v>
      </c>
      <c r="H81" s="7">
        <f t="shared" si="43"/>
        <v>1.1639118457300278E-2</v>
      </c>
      <c r="I81" s="7">
        <f t="shared" si="43"/>
        <v>1.6804407713498622E-2</v>
      </c>
      <c r="J81" s="7">
        <f t="shared" si="43"/>
        <v>1.0468319559228645E-2</v>
      </c>
      <c r="K81" s="7">
        <f t="shared" si="43"/>
        <v>4.6143250688705281E-3</v>
      </c>
      <c r="L81" s="7">
        <f t="shared" si="43"/>
        <v>8.9531680440771433E-4</v>
      </c>
      <c r="M81" s="7">
        <f t="shared" ref="M81:P81" si="45" xml:space="preserve"> (M36-M6)/14.52</f>
        <v>5.3719008264462784E-3</v>
      </c>
      <c r="N81" s="7">
        <f t="shared" si="45"/>
        <v>3.3746556473829232E-3</v>
      </c>
      <c r="O81" s="7">
        <f t="shared" si="45"/>
        <v>6.8870523415978024E-3</v>
      </c>
      <c r="P81" s="7">
        <f t="shared" si="45"/>
        <v>3.7878787878787915E-3</v>
      </c>
    </row>
    <row r="82" spans="1:16" x14ac:dyDescent="0.2">
      <c r="A82" s="1">
        <v>4</v>
      </c>
      <c r="B82" s="5">
        <v>50</v>
      </c>
      <c r="C82" s="7">
        <f t="shared" si="43"/>
        <v>1.4600550964187319E-2</v>
      </c>
      <c r="D82" s="7">
        <f t="shared" si="43"/>
        <v>1.0537190082644622E-2</v>
      </c>
      <c r="E82" s="7">
        <f t="shared" si="43"/>
        <v>1.5977961432506894E-2</v>
      </c>
      <c r="F82" s="7">
        <f t="shared" si="43"/>
        <v>1.1501377410468314E-2</v>
      </c>
      <c r="G82" s="7">
        <f xml:space="preserve"> (G37-G7)/14.52</f>
        <v>1.6391184573002746E-2</v>
      </c>
      <c r="H82" s="7">
        <f t="shared" si="43"/>
        <v>1.0743801652892557E-2</v>
      </c>
      <c r="I82" s="7">
        <f t="shared" si="43"/>
        <v>2.0523415977961437E-2</v>
      </c>
      <c r="J82" s="7">
        <f t="shared" si="43"/>
        <v>1.1088154269972453E-2</v>
      </c>
      <c r="K82" s="7">
        <f t="shared" si="43"/>
        <v>4.476584022038572E-3</v>
      </c>
      <c r="L82" s="7">
        <f t="shared" si="43"/>
        <v>6.4738292011019341E-3</v>
      </c>
      <c r="M82" s="7">
        <f t="shared" ref="M82:P83" si="46" xml:space="preserve"> (M37-M7)/14.52</f>
        <v>4.9586776859504179E-3</v>
      </c>
      <c r="N82" s="7">
        <f t="shared" si="46"/>
        <v>5.4407713498622638E-3</v>
      </c>
      <c r="O82" s="7">
        <f t="shared" si="46"/>
        <v>7.4380165289256268E-3</v>
      </c>
      <c r="P82" s="7">
        <f t="shared" si="46"/>
        <v>8.4710743801652902E-3</v>
      </c>
    </row>
    <row r="83" spans="1:16" x14ac:dyDescent="0.2">
      <c r="A83" s="1">
        <v>5</v>
      </c>
      <c r="B83" s="5">
        <v>50</v>
      </c>
      <c r="C83" s="7">
        <f t="shared" si="43"/>
        <v>1.2534435261707985E-2</v>
      </c>
      <c r="D83" s="7">
        <f t="shared" si="43"/>
        <v>1.1088154269972447E-2</v>
      </c>
      <c r="E83" s="7">
        <f t="shared" si="43"/>
        <v>1.6184573002754814E-2</v>
      </c>
      <c r="F83" s="7">
        <f t="shared" si="43"/>
        <v>1.1088154269972447E-2</v>
      </c>
      <c r="G83" s="7">
        <f t="shared" si="43"/>
        <v>1.3636363636363634E-2</v>
      </c>
      <c r="H83" s="7">
        <f t="shared" si="43"/>
        <v>9.7107438016528855E-3</v>
      </c>
      <c r="I83" s="7">
        <f t="shared" si="43"/>
        <v>1.4049586776859494E-2</v>
      </c>
      <c r="J83" s="7">
        <f t="shared" si="43"/>
        <v>1.0743801652892557E-2</v>
      </c>
      <c r="K83" s="7">
        <f t="shared" si="43"/>
        <v>4.3388429752066159E-3</v>
      </c>
      <c r="L83" s="7">
        <f t="shared" si="43"/>
        <v>6.1983471074380219E-3</v>
      </c>
      <c r="M83" s="7">
        <f t="shared" si="46"/>
        <v>4.6143250688705281E-3</v>
      </c>
      <c r="N83" s="7">
        <f t="shared" si="46"/>
        <v>7.0936639118457361E-3</v>
      </c>
      <c r="O83" s="7">
        <f t="shared" si="46"/>
        <v>7.3691460055096483E-3</v>
      </c>
      <c r="P83" s="7">
        <f t="shared" si="46"/>
        <v>6.336088154269978E-3</v>
      </c>
    </row>
    <row r="84" spans="1:16" x14ac:dyDescent="0.2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1">
        <v>1</v>
      </c>
      <c r="B85" s="5">
        <v>60</v>
      </c>
      <c r="C85" s="7">
        <f xml:space="preserve"> (C40-C4)/14.52</f>
        <v>1.4600550964187319E-2</v>
      </c>
      <c r="D85" s="7">
        <f t="shared" ref="D85:L85" si="47" xml:space="preserve"> (D40-D4)/14.52</f>
        <v>1.1570247933884293E-2</v>
      </c>
      <c r="E85" s="7">
        <f t="shared" si="47"/>
        <v>1.515151515151515E-2</v>
      </c>
      <c r="F85" s="7">
        <f t="shared" si="47"/>
        <v>1.563360881542699E-2</v>
      </c>
      <c r="G85" s="7">
        <f t="shared" si="47"/>
        <v>1.5495867768595049E-2</v>
      </c>
      <c r="H85" s="7">
        <f t="shared" si="47"/>
        <v>1.1983471074380161E-2</v>
      </c>
      <c r="I85" s="7">
        <f t="shared" si="47"/>
        <v>1.763085399449036E-2</v>
      </c>
      <c r="J85" s="7">
        <f t="shared" si="47"/>
        <v>1.4531680440771348E-2</v>
      </c>
      <c r="K85" s="7">
        <f t="shared" si="47"/>
        <v>5.1652892561983516E-3</v>
      </c>
      <c r="L85" s="7">
        <f t="shared" si="47"/>
        <v>6.7493112947658385E-3</v>
      </c>
      <c r="M85" s="7">
        <f t="shared" ref="M85:P85" si="48" xml:space="preserve"> (M40-M4)/14.52</f>
        <v>6.1294765840220443E-3</v>
      </c>
      <c r="N85" s="7">
        <f t="shared" si="48"/>
        <v>3.9256198347107476E-3</v>
      </c>
      <c r="O85" s="7">
        <f t="shared" si="48"/>
        <v>6.8181818181818248E-3</v>
      </c>
      <c r="P85" s="7">
        <f t="shared" si="48"/>
        <v>1.0606060606060608E-2</v>
      </c>
    </row>
    <row r="86" spans="1:16" x14ac:dyDescent="0.2">
      <c r="A86" s="1">
        <v>2</v>
      </c>
      <c r="B86" s="5">
        <v>60</v>
      </c>
      <c r="C86" s="7">
        <f t="shared" ref="C86:L89" si="49" xml:space="preserve"> (C41-C5)/14.52</f>
        <v>1.3980716253443524E-2</v>
      </c>
      <c r="D86" s="7">
        <f t="shared" si="49"/>
        <v>1.0812672176308534E-2</v>
      </c>
      <c r="E86" s="7">
        <f t="shared" si="49"/>
        <v>1.5771349862258952E-2</v>
      </c>
      <c r="F86" s="7">
        <f t="shared" si="49"/>
        <v>1.3980716253443517E-2</v>
      </c>
      <c r="G86" s="7">
        <f t="shared" si="49"/>
        <v>1.4325068870523422E-2</v>
      </c>
      <c r="H86" s="7">
        <f t="shared" si="49"/>
        <v>1.1432506887052336E-2</v>
      </c>
      <c r="I86" s="7">
        <f t="shared" si="49"/>
        <v>2.1625344352617086E-2</v>
      </c>
      <c r="J86" s="7">
        <f t="shared" si="49"/>
        <v>1.3567493112947648E-2</v>
      </c>
      <c r="K86" s="7">
        <f t="shared" si="49"/>
        <v>4.6831955922865057E-3</v>
      </c>
      <c r="L86" s="7">
        <f t="shared" si="49"/>
        <v>2.8236914600550992E-3</v>
      </c>
      <c r="M86" s="7">
        <f t="shared" ref="M86:P86" si="50" xml:space="preserve"> (M41-M5)/14.52</f>
        <v>5.7851239669421545E-3</v>
      </c>
      <c r="N86" s="7">
        <f t="shared" si="50"/>
        <v>6.0606060606060658E-3</v>
      </c>
      <c r="O86" s="7">
        <f t="shared" si="50"/>
        <v>7.5068870523416044E-3</v>
      </c>
      <c r="P86" s="7">
        <f t="shared" si="50"/>
        <v>4.4077134986225935E-3</v>
      </c>
    </row>
    <row r="87" spans="1:16" x14ac:dyDescent="0.2">
      <c r="A87" s="1">
        <v>3</v>
      </c>
      <c r="B87" s="5">
        <v>60</v>
      </c>
      <c r="C87" s="7">
        <f t="shared" si="49"/>
        <v>1.5702479338842973E-2</v>
      </c>
      <c r="D87" s="7">
        <f t="shared" si="49"/>
        <v>1.122589531680441E-2</v>
      </c>
      <c r="E87" s="7">
        <f t="shared" si="49"/>
        <v>1.5633608815427004E-2</v>
      </c>
      <c r="F87" s="7">
        <f t="shared" si="49"/>
        <v>1.515151515151515E-2</v>
      </c>
      <c r="G87" s="7">
        <f t="shared" si="49"/>
        <v>1.7768595041322308E-2</v>
      </c>
      <c r="H87" s="7">
        <f t="shared" si="49"/>
        <v>1.3498622589531677E-2</v>
      </c>
      <c r="I87" s="7">
        <f t="shared" si="49"/>
        <v>1.9559228650137744E-2</v>
      </c>
      <c r="J87" s="7">
        <f t="shared" si="49"/>
        <v>1.1776859504132226E-2</v>
      </c>
      <c r="K87" s="7">
        <f t="shared" si="49"/>
        <v>4.8209366391184618E-3</v>
      </c>
      <c r="L87" s="7">
        <f t="shared" si="49"/>
        <v>1.1707988980716264E-3</v>
      </c>
      <c r="M87" s="7">
        <f t="shared" ref="M87:P87" si="51" xml:space="preserve"> (M42-M6)/14.52</f>
        <v>5.6473829201101906E-3</v>
      </c>
      <c r="N87" s="7">
        <f t="shared" si="51"/>
        <v>3.9256198347107476E-3</v>
      </c>
      <c r="O87" s="7">
        <f t="shared" si="51"/>
        <v>7.2314049586776922E-3</v>
      </c>
      <c r="P87" s="7">
        <f t="shared" si="51"/>
        <v>4.1322314049586813E-3</v>
      </c>
    </row>
    <row r="88" spans="1:16" x14ac:dyDescent="0.2">
      <c r="A88" s="1">
        <v>4</v>
      </c>
      <c r="B88" s="5">
        <v>60</v>
      </c>
      <c r="C88" s="7">
        <f t="shared" si="49"/>
        <v>1.7906336088154264E-2</v>
      </c>
      <c r="D88" s="7">
        <f t="shared" si="49"/>
        <v>1.1225895316804404E-2</v>
      </c>
      <c r="E88" s="7">
        <f t="shared" si="49"/>
        <v>1.7079889807162543E-2</v>
      </c>
      <c r="F88" s="7">
        <f t="shared" si="49"/>
        <v>1.3567493112947656E-2</v>
      </c>
      <c r="G88" s="7">
        <f t="shared" si="49"/>
        <v>1.7630853994490353E-2</v>
      </c>
      <c r="H88" s="7">
        <f t="shared" si="49"/>
        <v>1.1983471074380161E-2</v>
      </c>
      <c r="I88" s="7">
        <f t="shared" si="49"/>
        <v>2.2038567493112952E-2</v>
      </c>
      <c r="J88" s="7">
        <f t="shared" si="49"/>
        <v>1.2465564738292014E-2</v>
      </c>
      <c r="K88" s="7">
        <f t="shared" si="49"/>
        <v>4.5454545454545496E-3</v>
      </c>
      <c r="L88" s="7">
        <f t="shared" si="49"/>
        <v>6.9559228650137809E-3</v>
      </c>
      <c r="M88" s="7">
        <f t="shared" ref="M88:P89" si="52" xml:space="preserve"> (M43-M7)/14.52</f>
        <v>5.096418732782374E-3</v>
      </c>
      <c r="N88" s="7">
        <f t="shared" si="52"/>
        <v>5.8539944903581321E-3</v>
      </c>
      <c r="O88" s="7">
        <f t="shared" si="52"/>
        <v>7.713498622589539E-3</v>
      </c>
      <c r="P88" s="7">
        <f t="shared" si="52"/>
        <v>9.3663911845730044E-3</v>
      </c>
    </row>
    <row r="89" spans="1:16" x14ac:dyDescent="0.2">
      <c r="A89" s="1">
        <v>5</v>
      </c>
      <c r="B89" s="5">
        <v>60</v>
      </c>
      <c r="C89" s="7">
        <f t="shared" si="49"/>
        <v>1.4187327823691458E-2</v>
      </c>
      <c r="D89" s="7">
        <f t="shared" si="49"/>
        <v>1.1639118457300271E-2</v>
      </c>
      <c r="E89" s="7">
        <f t="shared" si="49"/>
        <v>1.8181818181818184E-2</v>
      </c>
      <c r="F89" s="7">
        <f t="shared" si="49"/>
        <v>1.274104683195592E-2</v>
      </c>
      <c r="G89" s="7">
        <f t="shared" si="49"/>
        <v>1.4325068870523414E-2</v>
      </c>
      <c r="H89" s="7">
        <f t="shared" si="49"/>
        <v>1.1363636363636359E-2</v>
      </c>
      <c r="I89" s="7">
        <f t="shared" si="49"/>
        <v>1.6460055096418732E-2</v>
      </c>
      <c r="J89" s="7">
        <f t="shared" si="49"/>
        <v>1.1914600550964183E-2</v>
      </c>
      <c r="K89" s="7">
        <f t="shared" si="49"/>
        <v>4.4077134986225935E-3</v>
      </c>
      <c r="L89" s="7">
        <f t="shared" si="49"/>
        <v>6.6804407713498687E-3</v>
      </c>
      <c r="M89" s="7">
        <f t="shared" si="52"/>
        <v>4.8898071625344394E-3</v>
      </c>
      <c r="N89" s="7">
        <f t="shared" si="52"/>
        <v>7.8512396694214864E-3</v>
      </c>
      <c r="O89" s="7">
        <f t="shared" si="52"/>
        <v>7.5757575757575829E-3</v>
      </c>
      <c r="P89" s="7">
        <f t="shared" si="52"/>
        <v>7.5068870523415966E-3</v>
      </c>
    </row>
    <row r="90" spans="1:16" x14ac:dyDescent="0.2">
      <c r="M90" s="5"/>
      <c r="N90" s="5"/>
      <c r="O90" s="5"/>
      <c r="P90" s="5"/>
    </row>
    <row r="91" spans="1:16" x14ac:dyDescent="0.2">
      <c r="M91" s="5"/>
      <c r="N91" s="5"/>
      <c r="O91" s="5"/>
      <c r="P91" s="5"/>
    </row>
    <row r="92" spans="1:16" s="3" customFormat="1" x14ac:dyDescent="0.2">
      <c r="A92" s="6" t="s">
        <v>6</v>
      </c>
      <c r="B92" s="6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s="3" customFormat="1" ht="68" x14ac:dyDescent="0.2">
      <c r="B93" s="4" t="s">
        <v>2</v>
      </c>
      <c r="C93" s="4" t="s">
        <v>3</v>
      </c>
      <c r="D93" s="4" t="s">
        <v>4</v>
      </c>
      <c r="E93" s="4" t="s">
        <v>14</v>
      </c>
      <c r="F93" s="4" t="s">
        <v>15</v>
      </c>
      <c r="G93" s="4" t="s">
        <v>11</v>
      </c>
      <c r="H93" s="4" t="s">
        <v>12</v>
      </c>
      <c r="I93" s="4" t="s">
        <v>16</v>
      </c>
      <c r="J93" s="4" t="s">
        <v>17</v>
      </c>
      <c r="K93" s="4" t="s">
        <v>13</v>
      </c>
      <c r="L93" s="4" t="s">
        <v>9</v>
      </c>
      <c r="M93" s="4" t="s">
        <v>18</v>
      </c>
      <c r="N93" s="4" t="s">
        <v>19</v>
      </c>
      <c r="O93" s="4" t="s">
        <v>20</v>
      </c>
      <c r="P93" s="4" t="s">
        <v>21</v>
      </c>
    </row>
    <row r="94" spans="1:16" x14ac:dyDescent="0.2">
      <c r="B94" s="5">
        <v>0</v>
      </c>
      <c r="C94" s="7">
        <f xml:space="preserve"> AVERAGE(C49:C53)</f>
        <v>0</v>
      </c>
      <c r="D94" s="7">
        <f t="shared" ref="D94:L94" si="53" xml:space="preserve"> AVERAGE(D49:D53)</f>
        <v>0</v>
      </c>
      <c r="E94" s="7">
        <f t="shared" si="53"/>
        <v>0</v>
      </c>
      <c r="F94" s="7">
        <f t="shared" si="53"/>
        <v>0</v>
      </c>
      <c r="G94" s="7">
        <f t="shared" si="53"/>
        <v>0</v>
      </c>
      <c r="H94" s="7">
        <f t="shared" si="53"/>
        <v>0</v>
      </c>
      <c r="I94" s="7">
        <f t="shared" si="53"/>
        <v>0</v>
      </c>
      <c r="J94" s="7">
        <f t="shared" si="53"/>
        <v>0</v>
      </c>
      <c r="K94" s="7">
        <f t="shared" si="53"/>
        <v>0</v>
      </c>
      <c r="L94" s="7">
        <f t="shared" si="53"/>
        <v>0</v>
      </c>
      <c r="M94" s="7">
        <f t="shared" ref="M94:P94" si="54" xml:space="preserve"> AVERAGE(M49:M53)</f>
        <v>0</v>
      </c>
      <c r="N94" s="7">
        <f t="shared" si="54"/>
        <v>0</v>
      </c>
      <c r="O94" s="7">
        <f t="shared" si="54"/>
        <v>0</v>
      </c>
      <c r="P94" s="7">
        <f t="shared" si="54"/>
        <v>0</v>
      </c>
    </row>
    <row r="95" spans="1:16" x14ac:dyDescent="0.2">
      <c r="B95" s="5">
        <v>10</v>
      </c>
      <c r="C95" s="7">
        <f xml:space="preserve"> AVERAGE(C55:C59)</f>
        <v>6.0743801652892535E-3</v>
      </c>
      <c r="D95" s="7">
        <f t="shared" ref="D95:L95" si="55" xml:space="preserve"> AVERAGE(D55:D59)</f>
        <v>5.6473829201101923E-3</v>
      </c>
      <c r="E95" s="7">
        <f t="shared" si="55"/>
        <v>7.3829201101928421E-3</v>
      </c>
      <c r="F95" s="7">
        <f t="shared" si="55"/>
        <v>5.7575757575757548E-3</v>
      </c>
      <c r="G95" s="7">
        <f t="shared" si="55"/>
        <v>9.0909090909090905E-3</v>
      </c>
      <c r="H95" s="7">
        <f t="shared" si="55"/>
        <v>5.526859504132231E-3</v>
      </c>
      <c r="I95" s="7">
        <f t="shared" si="55"/>
        <v>9.1184573002754763E-3</v>
      </c>
      <c r="J95" s="7">
        <f t="shared" si="55"/>
        <v>5.6473829201101923E-3</v>
      </c>
      <c r="K95" s="7">
        <f t="shared" si="55"/>
        <v>2.9476584022038593E-3</v>
      </c>
      <c r="L95" s="7">
        <f t="shared" si="55"/>
        <v>2.0110192837465581E-3</v>
      </c>
      <c r="M95" s="7">
        <f t="shared" ref="M95:P95" si="56" xml:space="preserve"> AVERAGE(M55:M59)</f>
        <v>3.3057851239669438E-3</v>
      </c>
      <c r="N95" s="7">
        <f t="shared" si="56"/>
        <v>1.928374655647385E-3</v>
      </c>
      <c r="O95" s="7">
        <f t="shared" si="56"/>
        <v>3.5123966942148797E-3</v>
      </c>
      <c r="P95" s="7">
        <f t="shared" si="56"/>
        <v>2.8374655647382947E-3</v>
      </c>
    </row>
    <row r="96" spans="1:16" x14ac:dyDescent="0.2">
      <c r="B96" s="5">
        <v>20</v>
      </c>
      <c r="C96" s="7">
        <f xml:space="preserve"> AVERAGE(C61:C65)</f>
        <v>7.7548209366391178E-3</v>
      </c>
      <c r="D96" s="7">
        <f t="shared" ref="D96:L96" si="57" xml:space="preserve"> AVERAGE(D61:D65)</f>
        <v>7.2176308539944906E-3</v>
      </c>
      <c r="E96" s="7">
        <f t="shared" si="57"/>
        <v>9.6694214876033059E-3</v>
      </c>
      <c r="F96" s="7">
        <f t="shared" si="57"/>
        <v>7.4793388429752056E-3</v>
      </c>
      <c r="G96" s="7">
        <f t="shared" si="57"/>
        <v>1.1280991735537191E-2</v>
      </c>
      <c r="H96" s="7">
        <f t="shared" si="57"/>
        <v>6.983471074380165E-3</v>
      </c>
      <c r="I96" s="7">
        <f t="shared" si="57"/>
        <v>1.2369146005509639E-2</v>
      </c>
      <c r="J96" s="7">
        <f t="shared" si="57"/>
        <v>7.3140495867768593E-3</v>
      </c>
      <c r="K96" s="7">
        <f t="shared" si="57"/>
        <v>3.8016528925619865E-3</v>
      </c>
      <c r="L96" s="7">
        <f t="shared" si="57"/>
        <v>2.9201101928374683E-3</v>
      </c>
      <c r="M96" s="7">
        <f t="shared" ref="M96:P96" si="58" xml:space="preserve"> AVERAGE(M61:M65)</f>
        <v>4.0358126721763109E-3</v>
      </c>
      <c r="N96" s="7">
        <f t="shared" si="58"/>
        <v>2.8650137741046858E-3</v>
      </c>
      <c r="O96" s="7">
        <f t="shared" si="58"/>
        <v>4.4352617079889845E-3</v>
      </c>
      <c r="P96" s="7">
        <f t="shared" si="58"/>
        <v>3.9944903581267252E-3</v>
      </c>
    </row>
    <row r="97" spans="1:16" x14ac:dyDescent="0.2">
      <c r="B97" s="5">
        <v>30</v>
      </c>
      <c r="C97" s="7">
        <f xml:space="preserve"> AVERAGE(C67:C71)</f>
        <v>9.2561983471074333E-3</v>
      </c>
      <c r="D97" s="7">
        <f t="shared" ref="D97:L97" si="59" xml:space="preserve"> AVERAGE(D67:D71)</f>
        <v>8.5812672176308526E-3</v>
      </c>
      <c r="E97" s="7">
        <f t="shared" si="59"/>
        <v>1.1570247933884299E-2</v>
      </c>
      <c r="F97" s="7">
        <f t="shared" si="59"/>
        <v>8.9256198347107442E-3</v>
      </c>
      <c r="G97" s="7">
        <f t="shared" si="59"/>
        <v>1.327823691460055E-2</v>
      </c>
      <c r="H97" s="7">
        <f t="shared" si="59"/>
        <v>8.1680440771349869E-3</v>
      </c>
      <c r="I97" s="7">
        <f t="shared" si="59"/>
        <v>1.4559228650137734E-2</v>
      </c>
      <c r="J97" s="7">
        <f t="shared" si="59"/>
        <v>8.4986225895316812E-3</v>
      </c>
      <c r="K97" s="7">
        <f t="shared" si="59"/>
        <v>4.1597796143250732E-3</v>
      </c>
      <c r="L97" s="7">
        <f t="shared" si="59"/>
        <v>3.5399449035812707E-3</v>
      </c>
      <c r="M97" s="7">
        <f t="shared" ref="M97:P97" si="60" xml:space="preserve"> AVERAGE(M67:M71)</f>
        <v>4.5592286501377434E-3</v>
      </c>
      <c r="N97" s="7">
        <f t="shared" si="60"/>
        <v>3.6363636363636398E-3</v>
      </c>
      <c r="O97" s="7">
        <f t="shared" si="60"/>
        <v>5.79889807162535E-3</v>
      </c>
      <c r="P97" s="7">
        <f t="shared" si="60"/>
        <v>4.7658402203856779E-3</v>
      </c>
    </row>
    <row r="98" spans="1:16" x14ac:dyDescent="0.2">
      <c r="B98" s="5">
        <v>40</v>
      </c>
      <c r="C98" s="7">
        <f xml:space="preserve"> AVERAGE(C73:C77)</f>
        <v>1.0812672176308534E-2</v>
      </c>
      <c r="D98" s="7">
        <f t="shared" ref="D98:L98" si="61" xml:space="preserve"> AVERAGE(D73:D77)</f>
        <v>9.4765840220385616E-3</v>
      </c>
      <c r="E98" s="7">
        <f t="shared" si="61"/>
        <v>1.3085399449035815E-2</v>
      </c>
      <c r="F98" s="7">
        <f t="shared" si="61"/>
        <v>1.0371900826446276E-2</v>
      </c>
      <c r="G98" s="7">
        <f t="shared" si="61"/>
        <v>1.5647382920110191E-2</v>
      </c>
      <c r="H98" s="7">
        <f t="shared" si="61"/>
        <v>9.3388429752066082E-3</v>
      </c>
      <c r="I98" s="7">
        <f t="shared" si="61"/>
        <v>1.640495867768595E-2</v>
      </c>
      <c r="J98" s="7">
        <f t="shared" si="61"/>
        <v>9.8622589531680398E-3</v>
      </c>
      <c r="K98" s="7">
        <f t="shared" si="61"/>
        <v>4.3250688705234203E-3</v>
      </c>
      <c r="L98" s="7">
        <f t="shared" si="61"/>
        <v>4.0495867768595081E-3</v>
      </c>
      <c r="M98" s="7">
        <f t="shared" ref="M98:P98" si="62" xml:space="preserve"> AVERAGE(M73:M77)</f>
        <v>5.0826446280991767E-3</v>
      </c>
      <c r="N98" s="7">
        <f t="shared" si="62"/>
        <v>4.3526170798898114E-3</v>
      </c>
      <c r="O98" s="7">
        <f t="shared" si="62"/>
        <v>6.5702479338843045E-3</v>
      </c>
      <c r="P98" s="7">
        <f t="shared" si="62"/>
        <v>5.495867768595045E-3</v>
      </c>
    </row>
    <row r="99" spans="1:16" x14ac:dyDescent="0.2">
      <c r="B99" s="5">
        <v>50</v>
      </c>
      <c r="C99" s="7">
        <f xml:space="preserve"> AVERAGE(C79:C83)</f>
        <v>1.2892561983471069E-2</v>
      </c>
      <c r="D99" s="7">
        <f t="shared" ref="D99:L99" si="63" xml:space="preserve"> AVERAGE(D79:D83)</f>
        <v>1.0440771349862255E-2</v>
      </c>
      <c r="E99" s="7">
        <f t="shared" si="63"/>
        <v>1.4876033057851238E-2</v>
      </c>
      <c r="F99" s="7">
        <f t="shared" si="63"/>
        <v>1.1997245179063356E-2</v>
      </c>
      <c r="G99" s="7">
        <f t="shared" si="63"/>
        <v>1.5013774104683191E-2</v>
      </c>
      <c r="H99" s="7">
        <f t="shared" si="63"/>
        <v>1.0592286501377406E-2</v>
      </c>
      <c r="I99" s="7">
        <f t="shared" si="63"/>
        <v>1.7355371900826443E-2</v>
      </c>
      <c r="J99" s="7">
        <f t="shared" si="63"/>
        <v>1.1184573002754817E-2</v>
      </c>
      <c r="K99" s="7">
        <f t="shared" si="63"/>
        <v>4.5730027548209415E-3</v>
      </c>
      <c r="L99" s="7">
        <f t="shared" si="63"/>
        <v>4.504132231404963E-3</v>
      </c>
      <c r="M99" s="7">
        <f t="shared" ref="M99:P99" si="64" xml:space="preserve"> AVERAGE(M79:M83)</f>
        <v>5.2341597796143292E-3</v>
      </c>
      <c r="N99" s="7">
        <f t="shared" si="64"/>
        <v>4.9449035812672223E-3</v>
      </c>
      <c r="O99" s="7">
        <f t="shared" si="64"/>
        <v>7.0661157024793451E-3</v>
      </c>
      <c r="P99" s="7">
        <f t="shared" si="64"/>
        <v>6.3085399449035835E-3</v>
      </c>
    </row>
    <row r="100" spans="1:16" x14ac:dyDescent="0.2">
      <c r="B100" s="5">
        <v>60</v>
      </c>
      <c r="C100" s="7">
        <f xml:space="preserve"> AVERAGE(C85:C89)</f>
        <v>1.5275482093663908E-2</v>
      </c>
      <c r="D100" s="7">
        <f t="shared" ref="D100:L100" si="65" xml:space="preserve"> AVERAGE(D85:D89)</f>
        <v>1.1294765840220381E-2</v>
      </c>
      <c r="E100" s="7">
        <f t="shared" si="65"/>
        <v>1.6363636363636365E-2</v>
      </c>
      <c r="F100" s="7">
        <f t="shared" si="65"/>
        <v>1.4214876033057846E-2</v>
      </c>
      <c r="G100" s="7">
        <f t="shared" si="65"/>
        <v>1.5909090909090907E-2</v>
      </c>
      <c r="H100" s="7">
        <f t="shared" si="65"/>
        <v>1.2052341597796138E-2</v>
      </c>
      <c r="I100" s="7">
        <f t="shared" si="65"/>
        <v>1.9462809917355377E-2</v>
      </c>
      <c r="J100" s="7">
        <f t="shared" si="65"/>
        <v>1.2851239669421486E-2</v>
      </c>
      <c r="K100" s="7">
        <f t="shared" si="65"/>
        <v>4.7245179063360922E-3</v>
      </c>
      <c r="L100" s="7">
        <f t="shared" si="65"/>
        <v>4.8760330578512421E-3</v>
      </c>
      <c r="M100" s="7">
        <f t="shared" ref="M100:P100" si="66" xml:space="preserve"> AVERAGE(M85:M89)</f>
        <v>5.5096418732782414E-3</v>
      </c>
      <c r="N100" s="7">
        <f t="shared" si="66"/>
        <v>5.5234159779614361E-3</v>
      </c>
      <c r="O100" s="7">
        <f t="shared" si="66"/>
        <v>7.3691460055096483E-3</v>
      </c>
      <c r="P100" s="7">
        <f t="shared" si="66"/>
        <v>7.2038567493112968E-3</v>
      </c>
    </row>
    <row r="101" spans="1:16" x14ac:dyDescent="0.2">
      <c r="M101" s="5"/>
      <c r="N101" s="5"/>
      <c r="O101" s="5"/>
      <c r="P101" s="5"/>
    </row>
    <row r="102" spans="1:16" x14ac:dyDescent="0.2">
      <c r="M102" s="5"/>
      <c r="N102" s="5"/>
      <c r="O102" s="5"/>
      <c r="P102" s="5"/>
    </row>
    <row r="103" spans="1:16" s="3" customFormat="1" x14ac:dyDescent="0.2">
      <c r="A103" s="6" t="s">
        <v>7</v>
      </c>
      <c r="B103" s="6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s="3" customFormat="1" ht="68" x14ac:dyDescent="0.2">
      <c r="B104" s="4" t="s">
        <v>2</v>
      </c>
      <c r="C104" s="4" t="s">
        <v>3</v>
      </c>
      <c r="D104" s="4" t="s">
        <v>4</v>
      </c>
      <c r="E104" s="4" t="s">
        <v>14</v>
      </c>
      <c r="F104" s="4" t="s">
        <v>15</v>
      </c>
      <c r="G104" s="4" t="s">
        <v>11</v>
      </c>
      <c r="H104" s="4" t="s">
        <v>12</v>
      </c>
      <c r="I104" s="4" t="s">
        <v>16</v>
      </c>
      <c r="J104" s="4" t="s">
        <v>17</v>
      </c>
      <c r="K104" s="4" t="s">
        <v>13</v>
      </c>
      <c r="L104" s="4" t="s">
        <v>9</v>
      </c>
      <c r="M104" s="4" t="s">
        <v>18</v>
      </c>
      <c r="N104" s="4" t="s">
        <v>19</v>
      </c>
      <c r="O104" s="4" t="s">
        <v>20</v>
      </c>
      <c r="P104" s="4" t="s">
        <v>21</v>
      </c>
    </row>
    <row r="105" spans="1:16" x14ac:dyDescent="0.2">
      <c r="B105" s="5">
        <v>0</v>
      </c>
      <c r="C105" s="7">
        <f xml:space="preserve"> STDEV(C49:C53)*32.258/AVERAGE(C4:C8)</f>
        <v>0</v>
      </c>
      <c r="D105" s="7">
        <f t="shared" ref="D105:L105" si="67" xml:space="preserve"> STDEV(D49:D53)*32.258/AVERAGE(D4:D8)</f>
        <v>0</v>
      </c>
      <c r="E105" s="7">
        <f t="shared" si="67"/>
        <v>0</v>
      </c>
      <c r="F105" s="7">
        <f t="shared" si="67"/>
        <v>0</v>
      </c>
      <c r="G105" s="7">
        <f t="shared" si="67"/>
        <v>0</v>
      </c>
      <c r="H105" s="7">
        <f t="shared" si="67"/>
        <v>0</v>
      </c>
      <c r="I105" s="7">
        <f t="shared" si="67"/>
        <v>0</v>
      </c>
      <c r="J105" s="7">
        <f t="shared" si="67"/>
        <v>0</v>
      </c>
      <c r="K105" s="7">
        <f t="shared" si="67"/>
        <v>0</v>
      </c>
      <c r="L105" s="7">
        <f t="shared" si="67"/>
        <v>0</v>
      </c>
      <c r="M105" s="7">
        <f t="shared" ref="M105:P105" si="68" xml:space="preserve"> STDEV(M49:M53)*32.258/AVERAGE(M4:M8)</f>
        <v>0</v>
      </c>
      <c r="N105" s="7">
        <f t="shared" si="68"/>
        <v>0</v>
      </c>
      <c r="O105" s="7">
        <f t="shared" si="68"/>
        <v>0</v>
      </c>
      <c r="P105" s="7">
        <f t="shared" si="68"/>
        <v>0</v>
      </c>
    </row>
    <row r="106" spans="1:16" x14ac:dyDescent="0.2">
      <c r="B106" s="5">
        <v>10</v>
      </c>
      <c r="C106" s="7">
        <f xml:space="preserve"> STDEV(C55:C59)*32.258/AVERAGE(C4:C8)</f>
        <v>5.305912185220453E-3</v>
      </c>
      <c r="D106" s="7">
        <f t="shared" ref="D106:L106" si="69" xml:space="preserve"> STDEV(D55:D59)*32.258/AVERAGE(D4:D8)</f>
        <v>1.196717791206346E-2</v>
      </c>
      <c r="E106" s="7">
        <f t="shared" si="69"/>
        <v>2.7266378862110429E-2</v>
      </c>
      <c r="F106" s="7">
        <f t="shared" si="69"/>
        <v>1.7018354490896576E-2</v>
      </c>
      <c r="G106" s="7">
        <f t="shared" si="69"/>
        <v>3.852198004530729E-2</v>
      </c>
      <c r="H106" s="7">
        <f t="shared" si="69"/>
        <v>1.6810329659918258E-2</v>
      </c>
      <c r="I106" s="7">
        <f t="shared" si="69"/>
        <v>3.5678700694988373E-2</v>
      </c>
      <c r="J106" s="7">
        <f t="shared" si="69"/>
        <v>1.2899661460231132E-2</v>
      </c>
      <c r="K106" s="7">
        <f t="shared" si="69"/>
        <v>6.3643602255570829E-3</v>
      </c>
      <c r="L106" s="7">
        <f t="shared" si="69"/>
        <v>6.2644758907497836E-2</v>
      </c>
      <c r="M106" s="7">
        <f t="shared" ref="M106:P106" si="70" xml:space="preserve"> STDEV(M55:M59)*32.258/AVERAGE(M4:M8)</f>
        <v>1.1724628118789365E-2</v>
      </c>
      <c r="N106" s="7">
        <f t="shared" si="70"/>
        <v>5.3139050228247303E-2</v>
      </c>
      <c r="O106" s="7">
        <f t="shared" si="70"/>
        <v>8.316139411026274E-3</v>
      </c>
      <c r="P106" s="7">
        <f t="shared" si="70"/>
        <v>6.9347588812949362E-2</v>
      </c>
    </row>
    <row r="107" spans="1:16" x14ac:dyDescent="0.2">
      <c r="B107" s="5">
        <v>20</v>
      </c>
      <c r="C107" s="7">
        <f xml:space="preserve"> STDEV(C61:C65)*32.258/AVERAGE(C4:C8)</f>
        <v>5.0109049618831747E-3</v>
      </c>
      <c r="D107" s="7">
        <f t="shared" ref="D107:L107" si="71" xml:space="preserve"> STDEV(D61:D65)*32.258/AVERAGE(D4:D8)</f>
        <v>1.4962121315993638E-2</v>
      </c>
      <c r="E107" s="7">
        <f t="shared" si="71"/>
        <v>3.8454507489992878E-2</v>
      </c>
      <c r="F107" s="7">
        <f t="shared" si="71"/>
        <v>1.5731601148394204E-2</v>
      </c>
      <c r="G107" s="7">
        <f t="shared" si="71"/>
        <v>3.2424891328637129E-2</v>
      </c>
      <c r="H107" s="7">
        <f t="shared" si="71"/>
        <v>1.7407287628988622E-2</v>
      </c>
      <c r="I107" s="7">
        <f t="shared" si="71"/>
        <v>6.8108835466122911E-2</v>
      </c>
      <c r="J107" s="7">
        <f t="shared" si="71"/>
        <v>1.3668329792522901E-2</v>
      </c>
      <c r="K107" s="7">
        <f t="shared" si="71"/>
        <v>7.397120401329115E-3</v>
      </c>
      <c r="L107" s="7">
        <f t="shared" si="71"/>
        <v>7.8374402951278815E-2</v>
      </c>
      <c r="M107" s="7">
        <f t="shared" ref="M107:P107" si="72" xml:space="preserve"> STDEV(M61:M65)*32.258/AVERAGE(M4:M8)</f>
        <v>1.0835320350912749E-2</v>
      </c>
      <c r="N107" s="7">
        <f t="shared" si="72"/>
        <v>5.8488482925808931E-2</v>
      </c>
      <c r="O107" s="7">
        <f t="shared" si="72"/>
        <v>7.0358150538560905E-3</v>
      </c>
      <c r="P107" s="7">
        <f t="shared" si="72"/>
        <v>7.9545967838181367E-2</v>
      </c>
    </row>
    <row r="108" spans="1:16" x14ac:dyDescent="0.2">
      <c r="B108" s="5">
        <v>30</v>
      </c>
      <c r="C108" s="7">
        <f xml:space="preserve"> STDEV(C67:C71)*32.258/AVERAGE(C4:C8)</f>
        <v>9.6741262702402034E-3</v>
      </c>
      <c r="D108" s="7">
        <f t="shared" ref="D108:L108" si="73" xml:space="preserve"> STDEV(D67:D71)*32.258/AVERAGE(D4:D8)</f>
        <v>2.0691363720626584E-2</v>
      </c>
      <c r="E108" s="7">
        <f t="shared" si="73"/>
        <v>4.7454013755237591E-2</v>
      </c>
      <c r="F108" s="7">
        <f t="shared" si="73"/>
        <v>1.6905424547572458E-2</v>
      </c>
      <c r="G108" s="7">
        <f t="shared" si="73"/>
        <v>4.0740522649868584E-2</v>
      </c>
      <c r="H108" s="7">
        <f t="shared" si="73"/>
        <v>1.7621935536213496E-2</v>
      </c>
      <c r="I108" s="7">
        <f t="shared" si="73"/>
        <v>8.2060688997275075E-2</v>
      </c>
      <c r="J108" s="7">
        <f t="shared" si="73"/>
        <v>1.4104082726513532E-2</v>
      </c>
      <c r="K108" s="7">
        <f t="shared" si="73"/>
        <v>6.9513920270519638E-3</v>
      </c>
      <c r="L108" s="7">
        <f t="shared" si="73"/>
        <v>8.75466324531326E-2</v>
      </c>
      <c r="M108" s="7">
        <f t="shared" ref="M108:P108" si="74" xml:space="preserve"> STDEV(M67:M71)*32.258/AVERAGE(M4:M8)</f>
        <v>8.4898316727397057E-3</v>
      </c>
      <c r="N108" s="7">
        <f t="shared" si="74"/>
        <v>5.8692799629358978E-2</v>
      </c>
      <c r="O108" s="7">
        <f t="shared" si="74"/>
        <v>1.6675990536912794E-2</v>
      </c>
      <c r="P108" s="7">
        <f t="shared" si="74"/>
        <v>8.4960213269188123E-2</v>
      </c>
    </row>
    <row r="109" spans="1:16" x14ac:dyDescent="0.2">
      <c r="B109" s="5">
        <v>40</v>
      </c>
      <c r="C109" s="7">
        <f xml:space="preserve"> STDEV(C73:C77)*32.258/AVERAGE(C4:C8)</f>
        <v>2.198092976568488E-2</v>
      </c>
      <c r="D109" s="7">
        <f t="shared" ref="D109:L109" si="75" xml:space="preserve"> STDEV(D73:D77)*32.258/AVERAGE(D4:D8)</f>
        <v>1.9664079876344245E-2</v>
      </c>
      <c r="E109" s="7">
        <f t="shared" si="75"/>
        <v>6.1905433199542746E-2</v>
      </c>
      <c r="F109" s="7">
        <f t="shared" si="75"/>
        <v>1.9922165595488091E-2</v>
      </c>
      <c r="G109" s="7">
        <f t="shared" si="75"/>
        <v>0.10315694290811421</v>
      </c>
      <c r="H109" s="7">
        <f t="shared" si="75"/>
        <v>1.8758646912428564E-2</v>
      </c>
      <c r="I109" s="7">
        <f t="shared" si="75"/>
        <v>9.9890064531937814E-2</v>
      </c>
      <c r="J109" s="7">
        <f t="shared" si="75"/>
        <v>1.7328550078104552E-2</v>
      </c>
      <c r="K109" s="7">
        <f t="shared" si="75"/>
        <v>6.9000895397238349E-3</v>
      </c>
      <c r="L109" s="7">
        <f t="shared" si="75"/>
        <v>9.4075110449316685E-2</v>
      </c>
      <c r="M109" s="7">
        <f t="shared" ref="M109:P109" si="76" xml:space="preserve"> STDEV(M73:M77)*32.258/AVERAGE(M4:M8)</f>
        <v>1.3547578903558214E-2</v>
      </c>
      <c r="N109" s="7">
        <f t="shared" si="76"/>
        <v>5.9968685661209387E-2</v>
      </c>
      <c r="O109" s="7">
        <f t="shared" si="76"/>
        <v>1.9881991021781224E-2</v>
      </c>
      <c r="P109" s="7">
        <f t="shared" si="76"/>
        <v>9.096159791031809E-2</v>
      </c>
    </row>
    <row r="110" spans="1:16" x14ac:dyDescent="0.2">
      <c r="B110" s="5">
        <v>50</v>
      </c>
      <c r="C110" s="7">
        <f xml:space="preserve"> STDEV(C79:C83)*32.258/AVERAGE(C4:C8)</f>
        <v>4.0276599462601599E-2</v>
      </c>
      <c r="D110" s="7">
        <f t="shared" ref="D110:L110" si="77" xml:space="preserve"> STDEV(D79:D83)*32.258/AVERAGE(D4:D8)</f>
        <v>2.0691363720626719E-2</v>
      </c>
      <c r="E110" s="7">
        <f t="shared" si="77"/>
        <v>4.8459670995705341E-2</v>
      </c>
      <c r="F110" s="7">
        <f t="shared" si="77"/>
        <v>3.2363532802073686E-2</v>
      </c>
      <c r="G110" s="7">
        <f t="shared" si="77"/>
        <v>6.1121406790856224E-2</v>
      </c>
      <c r="H110" s="7">
        <f t="shared" si="77"/>
        <v>2.7923378329923171E-2</v>
      </c>
      <c r="I110" s="7">
        <f t="shared" si="77"/>
        <v>0.10283017101742946</v>
      </c>
      <c r="J110" s="7">
        <f t="shared" si="77"/>
        <v>2.4644768615839856E-2</v>
      </c>
      <c r="K110" s="7">
        <f t="shared" si="77"/>
        <v>9.1571078398983239E-3</v>
      </c>
      <c r="L110" s="7">
        <f t="shared" si="77"/>
        <v>0.10064322457675479</v>
      </c>
      <c r="M110" s="7">
        <f t="shared" ref="M110:P110" si="78" xml:space="preserve"> STDEV(M79:M83)*32.258/AVERAGE(M4:M8)</f>
        <v>1.7560515503333624E-2</v>
      </c>
      <c r="N110" s="7">
        <f t="shared" si="78"/>
        <v>6.1045199770590905E-2</v>
      </c>
      <c r="O110" s="7">
        <f t="shared" si="78"/>
        <v>1.6697803483499231E-2</v>
      </c>
      <c r="P110" s="7">
        <f t="shared" si="78"/>
        <v>9.761606370038925E-2</v>
      </c>
    </row>
    <row r="111" spans="1:16" x14ac:dyDescent="0.2">
      <c r="B111" s="5">
        <v>60</v>
      </c>
      <c r="C111" s="7">
        <f xml:space="preserve"> STDEV(C85:C89)*32.258/AVERAGE(C4:C8)</f>
        <v>6.4643440128732715E-2</v>
      </c>
      <c r="D111" s="7">
        <f t="shared" ref="D111:L111" si="79" xml:space="preserve"> STDEV(D85:D89)*32.258/AVERAGE(D4:D8)</f>
        <v>1.3166758353233761E-2</v>
      </c>
      <c r="E111" s="7">
        <f t="shared" si="79"/>
        <v>4.9128741106025636E-2</v>
      </c>
      <c r="F111" s="7">
        <f t="shared" si="79"/>
        <v>4.7284010988986012E-2</v>
      </c>
      <c r="G111" s="7">
        <f t="shared" si="79"/>
        <v>6.738594376151319E-2</v>
      </c>
      <c r="H111" s="7">
        <f t="shared" si="79"/>
        <v>3.4248446874039142E-2</v>
      </c>
      <c r="I111" s="7">
        <f t="shared" si="79"/>
        <v>9.7188172848712784E-2</v>
      </c>
      <c r="J111" s="7">
        <f t="shared" si="79"/>
        <v>4.6899063806956E-2</v>
      </c>
      <c r="K111" s="7">
        <f t="shared" si="79"/>
        <v>1.1246757374676774E-2</v>
      </c>
      <c r="L111" s="7">
        <f t="shared" si="79"/>
        <v>0.10395338665163778</v>
      </c>
      <c r="M111" s="7">
        <f t="shared" ref="M111:P111" si="80" xml:space="preserve"> STDEV(M85:M89)*32.258/AVERAGE(M4:M8)</f>
        <v>2.0123868169016255E-2</v>
      </c>
      <c r="N111" s="7">
        <f t="shared" si="80"/>
        <v>6.3670713446758551E-2</v>
      </c>
      <c r="O111" s="7">
        <f t="shared" si="80"/>
        <v>1.3889381137537921E-2</v>
      </c>
      <c r="P111" s="7">
        <f t="shared" si="80"/>
        <v>0.11201526160608737</v>
      </c>
    </row>
    <row r="112" spans="1:16" x14ac:dyDescent="0.2">
      <c r="M112" s="5"/>
      <c r="N112" s="5"/>
      <c r="O112" s="5"/>
      <c r="P112" s="5"/>
    </row>
    <row r="113" spans="1:16" x14ac:dyDescent="0.2">
      <c r="M113" s="5"/>
      <c r="N113" s="5"/>
      <c r="O113" s="5"/>
      <c r="P113" s="5"/>
    </row>
    <row r="114" spans="1:16" s="3" customFormat="1" x14ac:dyDescent="0.2">
      <c r="A114" s="6" t="s">
        <v>8</v>
      </c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s="3" customFormat="1" ht="68" x14ac:dyDescent="0.2">
      <c r="B115" s="4" t="s">
        <v>2</v>
      </c>
      <c r="C115" s="4" t="s">
        <v>3</v>
      </c>
      <c r="D115" s="4" t="s">
        <v>4</v>
      </c>
      <c r="E115" s="4" t="s">
        <v>14</v>
      </c>
      <c r="F115" s="4" t="s">
        <v>15</v>
      </c>
      <c r="G115" s="4" t="s">
        <v>11</v>
      </c>
      <c r="H115" s="4" t="s">
        <v>12</v>
      </c>
      <c r="I115" s="4" t="s">
        <v>16</v>
      </c>
      <c r="J115" s="4" t="s">
        <v>17</v>
      </c>
      <c r="K115" s="4" t="s">
        <v>13</v>
      </c>
      <c r="L115" s="4" t="s">
        <v>9</v>
      </c>
      <c r="M115" s="4" t="s">
        <v>18</v>
      </c>
      <c r="N115" s="4" t="s">
        <v>19</v>
      </c>
      <c r="O115" s="4" t="s">
        <v>20</v>
      </c>
      <c r="P115" s="4" t="s">
        <v>21</v>
      </c>
    </row>
    <row r="116" spans="1:16" x14ac:dyDescent="0.2">
      <c r="B116" s="5">
        <v>0</v>
      </c>
      <c r="C116" s="7">
        <f>AVERAGE(C49:C53)*32.258/AVERAGE(C4:C8)</f>
        <v>0</v>
      </c>
      <c r="D116" s="7">
        <f t="shared" ref="D116:L116" si="81">AVERAGE(D49:D53)*32.258/AVERAGE(D4:D8)</f>
        <v>0</v>
      </c>
      <c r="E116" s="7">
        <f t="shared" si="81"/>
        <v>0</v>
      </c>
      <c r="F116" s="7">
        <f t="shared" si="81"/>
        <v>0</v>
      </c>
      <c r="G116" s="7">
        <f t="shared" si="81"/>
        <v>0</v>
      </c>
      <c r="H116" s="7">
        <f t="shared" si="81"/>
        <v>0</v>
      </c>
      <c r="I116" s="7">
        <f t="shared" si="81"/>
        <v>0</v>
      </c>
      <c r="J116" s="7">
        <f t="shared" si="81"/>
        <v>0</v>
      </c>
      <c r="K116" s="7">
        <f t="shared" si="81"/>
        <v>0</v>
      </c>
      <c r="L116" s="7">
        <f t="shared" si="81"/>
        <v>0</v>
      </c>
      <c r="M116" s="7">
        <f t="shared" ref="M116:P116" si="82">AVERAGE(M49:M53)*32.258/AVERAGE(M4:M8)</f>
        <v>0</v>
      </c>
      <c r="N116" s="7">
        <f t="shared" si="82"/>
        <v>0</v>
      </c>
      <c r="O116" s="7">
        <f t="shared" si="82"/>
        <v>0</v>
      </c>
      <c r="P116" s="7">
        <f t="shared" si="82"/>
        <v>0</v>
      </c>
    </row>
    <row r="117" spans="1:16" x14ac:dyDescent="0.2">
      <c r="B117" s="5">
        <v>10</v>
      </c>
      <c r="C117" s="7">
        <f>AVERAGE(C55:C59)*32.258/AVERAGE(C4:C8)</f>
        <v>0.24329197339446332</v>
      </c>
      <c r="D117" s="7">
        <f t="shared" ref="D117:L117" si="83">AVERAGE(D55:D59)*32.258/AVERAGE(D4:D8)</f>
        <v>0.22512763005056177</v>
      </c>
      <c r="E117" s="7">
        <f t="shared" si="83"/>
        <v>0.29200372353433141</v>
      </c>
      <c r="F117" s="7">
        <f t="shared" si="83"/>
        <v>0.23140777322187731</v>
      </c>
      <c r="G117" s="7">
        <f>AVERAGE(G55:G59)*32.258/AVERAGE(G4:G8)</f>
        <v>0.35955682375496012</v>
      </c>
      <c r="H117" s="7">
        <f t="shared" si="83"/>
        <v>0.22005114031633857</v>
      </c>
      <c r="I117" s="7">
        <f t="shared" si="83"/>
        <v>0.36412873928235495</v>
      </c>
      <c r="J117" s="7">
        <f t="shared" si="83"/>
        <v>0.22551779925342239</v>
      </c>
      <c r="K117" s="7">
        <f t="shared" si="83"/>
        <v>0.11409355020193439</v>
      </c>
      <c r="L117" s="7">
        <f t="shared" si="83"/>
        <v>7.7597440257292441E-2</v>
      </c>
      <c r="M117" s="7">
        <f t="shared" ref="M117:P117" si="84">AVERAGE(M55:M59)*32.258/AVERAGE(M4:M8)</f>
        <v>0.13084419206003151</v>
      </c>
      <c r="N117" s="7">
        <f t="shared" si="84"/>
        <v>7.4301850981692966E-2</v>
      </c>
      <c r="O117" s="7">
        <f t="shared" si="84"/>
        <v>0.13760370726497886</v>
      </c>
      <c r="P117" s="7">
        <f t="shared" si="84"/>
        <v>0.10967045792874182</v>
      </c>
    </row>
    <row r="118" spans="1:16" x14ac:dyDescent="0.2">
      <c r="B118" s="5">
        <v>20</v>
      </c>
      <c r="C118" s="7">
        <f>AVERAGE(C61:C65)*32.258/AVERAGE(C4:C8)</f>
        <v>0.31059723587547144</v>
      </c>
      <c r="D118" s="7">
        <f t="shared" ref="D118:L118" si="85">AVERAGE(D61:D65)*32.258/AVERAGE(D4:D8)</f>
        <v>0.28772409304023022</v>
      </c>
      <c r="E118" s="7">
        <f t="shared" si="85"/>
        <v>0.38243771253936665</v>
      </c>
      <c r="F118" s="7">
        <f t="shared" si="85"/>
        <v>0.30060866234325218</v>
      </c>
      <c r="G118" s="7">
        <f t="shared" si="85"/>
        <v>0.44617733129592779</v>
      </c>
      <c r="H118" s="7">
        <f t="shared" si="85"/>
        <v>0.2780459268296166</v>
      </c>
      <c r="I118" s="7">
        <f t="shared" si="85"/>
        <v>0.49393898470627623</v>
      </c>
      <c r="J118" s="7">
        <f t="shared" si="85"/>
        <v>0.29207305220382268</v>
      </c>
      <c r="K118" s="7">
        <f t="shared" si="85"/>
        <v>0.14714869091464433</v>
      </c>
      <c r="L118" s="7">
        <f t="shared" si="85"/>
        <v>0.11267573516812328</v>
      </c>
      <c r="M118" s="7">
        <f t="shared" ref="M118:P118" si="86">AVERAGE(M61:M65)*32.258/AVERAGE(M4:M8)</f>
        <v>0.15973895113995512</v>
      </c>
      <c r="N118" s="7">
        <f t="shared" si="86"/>
        <v>0.11039132145851524</v>
      </c>
      <c r="O118" s="7">
        <f t="shared" si="86"/>
        <v>0.17375840682087523</v>
      </c>
      <c r="P118" s="7">
        <f t="shared" si="86"/>
        <v>0.15439045048220934</v>
      </c>
    </row>
    <row r="119" spans="1:16" x14ac:dyDescent="0.2">
      <c r="B119" s="5">
        <v>30</v>
      </c>
      <c r="C119" s="7">
        <f>AVERAGE(C67:C71)*32.258/AVERAGE(C4:C8)</f>
        <v>0.37073062612489649</v>
      </c>
      <c r="D119" s="7">
        <f t="shared" ref="D119:L119" si="87">AVERAGE(D67:D71)*32.258/AVERAGE(D4:D8)</f>
        <v>0.34208417932073165</v>
      </c>
      <c r="E119" s="7">
        <f t="shared" si="87"/>
        <v>0.45761777568813106</v>
      </c>
      <c r="F119" s="7">
        <f t="shared" si="87"/>
        <v>0.35873740920520708</v>
      </c>
      <c r="G119" s="7">
        <f t="shared" si="87"/>
        <v>0.52517087590875988</v>
      </c>
      <c r="H119" s="7">
        <f t="shared" si="87"/>
        <v>0.32520953571984745</v>
      </c>
      <c r="I119" s="7">
        <f t="shared" si="87"/>
        <v>0.58139588734357894</v>
      </c>
      <c r="J119" s="7">
        <f t="shared" si="87"/>
        <v>0.33937678570576013</v>
      </c>
      <c r="K119" s="7">
        <f t="shared" si="87"/>
        <v>0.16101052411674854</v>
      </c>
      <c r="L119" s="7">
        <f t="shared" si="87"/>
        <v>0.13659275442550795</v>
      </c>
      <c r="M119" s="7">
        <f t="shared" ref="M119:P119" si="88">AVERAGE(M67:M71)*32.258/AVERAGE(M4:M8)</f>
        <v>0.18045594821612679</v>
      </c>
      <c r="N119" s="7">
        <f t="shared" si="88"/>
        <v>0.14011206185119243</v>
      </c>
      <c r="O119" s="7">
        <f t="shared" si="88"/>
        <v>0.22718102258257292</v>
      </c>
      <c r="P119" s="7">
        <f t="shared" si="88"/>
        <v>0.18420377885118766</v>
      </c>
    </row>
    <row r="120" spans="1:16" x14ac:dyDescent="0.2">
      <c r="B120" s="5">
        <v>40</v>
      </c>
      <c r="C120" s="7">
        <f>AVERAGE(C73:C77)*32.258/AVERAGE(C4:C8)</f>
        <v>0.4330707462917317</v>
      </c>
      <c r="D120" s="7">
        <f t="shared" ref="D120:L120" si="89">AVERAGE(D73:D77)*32.258/AVERAGE(D4:D8)</f>
        <v>0.37777514506045468</v>
      </c>
      <c r="E120" s="7">
        <f t="shared" si="89"/>
        <v>0.51754391298062441</v>
      </c>
      <c r="F120" s="7">
        <f t="shared" si="89"/>
        <v>0.41686615606716171</v>
      </c>
      <c r="G120" s="7">
        <f t="shared" si="89"/>
        <v>0.61887356331156762</v>
      </c>
      <c r="H120" s="7">
        <f t="shared" si="89"/>
        <v>0.37182473055321497</v>
      </c>
      <c r="I120" s="7">
        <f t="shared" si="89"/>
        <v>0.65510170466055129</v>
      </c>
      <c r="J120" s="7">
        <f t="shared" si="89"/>
        <v>0.39383108357426921</v>
      </c>
      <c r="K120" s="7">
        <f t="shared" si="89"/>
        <v>0.16740829328695045</v>
      </c>
      <c r="L120" s="7">
        <f t="shared" si="89"/>
        <v>0.15625785914824647</v>
      </c>
      <c r="M120" s="7">
        <f t="shared" ref="M120:P120" si="90">AVERAGE(M73:M77)*32.258/AVERAGE(M4:M8)</f>
        <v>0.20117294529229846</v>
      </c>
      <c r="N120" s="7">
        <f t="shared" si="90"/>
        <v>0.16770989221582125</v>
      </c>
      <c r="O120" s="7">
        <f t="shared" si="90"/>
        <v>0.25739987594272518</v>
      </c>
      <c r="P120" s="7">
        <f t="shared" si="90"/>
        <v>0.21241996462897073</v>
      </c>
    </row>
    <row r="121" spans="1:16" x14ac:dyDescent="0.2">
      <c r="B121" s="5">
        <v>50</v>
      </c>
      <c r="C121" s="7">
        <f>AVERAGE(C79:C83)*32.258/AVERAGE(C4:C8)</f>
        <v>0.51637480067396302</v>
      </c>
      <c r="D121" s="7">
        <f t="shared" ref="D121:L121" si="91">AVERAGE(D79:D83)*32.258/AVERAGE(D4:D8)</f>
        <v>0.41621156970323359</v>
      </c>
      <c r="E121" s="7">
        <f t="shared" si="91"/>
        <v>0.58836571159902551</v>
      </c>
      <c r="F121" s="7">
        <f t="shared" si="91"/>
        <v>0.4821917953977396</v>
      </c>
      <c r="G121" s="7">
        <f t="shared" si="91"/>
        <v>0.59381354226197935</v>
      </c>
      <c r="H121" s="7">
        <f t="shared" si="91"/>
        <v>0.42173040972776155</v>
      </c>
      <c r="I121" s="7">
        <f t="shared" si="91"/>
        <v>0.69305470014466386</v>
      </c>
      <c r="J121" s="7">
        <f t="shared" si="91"/>
        <v>0.44663525120433883</v>
      </c>
      <c r="K121" s="7">
        <f t="shared" si="91"/>
        <v>0.17700494704225336</v>
      </c>
      <c r="L121" s="7">
        <f t="shared" si="91"/>
        <v>0.17379700660366185</v>
      </c>
      <c r="M121" s="7">
        <f t="shared" ref="M121:P121" si="92">AVERAGE(M79:M83)*32.258/AVERAGE(M4:M8)</f>
        <v>0.20716997076171659</v>
      </c>
      <c r="N121" s="7">
        <f t="shared" si="92"/>
        <v>0.19053117501734124</v>
      </c>
      <c r="O121" s="7">
        <f t="shared" si="92"/>
        <v>0.27682628167425155</v>
      </c>
      <c r="P121" s="7">
        <f t="shared" si="92"/>
        <v>0.2438304355891443</v>
      </c>
    </row>
    <row r="122" spans="1:16" x14ac:dyDescent="0.2">
      <c r="B122" s="5">
        <v>60</v>
      </c>
      <c r="C122" s="7">
        <f>AVERAGE(C85:C89)*32.258/AVERAGE(C4:C8)</f>
        <v>0.61181586960194978</v>
      </c>
      <c r="D122" s="7">
        <f t="shared" ref="D122:L122" si="93">AVERAGE(D85:D89)*32.258/AVERAGE(D4:D8)</f>
        <v>0.45025526010112343</v>
      </c>
      <c r="E122" s="7">
        <f t="shared" si="93"/>
        <v>0.64720228275892822</v>
      </c>
      <c r="F122" s="7">
        <f t="shared" si="93"/>
        <v>0.57132254058607035</v>
      </c>
      <c r="G122" s="7">
        <f t="shared" si="93"/>
        <v>0.62922444157118007</v>
      </c>
      <c r="H122" s="7">
        <f t="shared" si="93"/>
        <v>0.47986229975525529</v>
      </c>
      <c r="I122" s="7">
        <f t="shared" si="93"/>
        <v>0.77721134230508759</v>
      </c>
      <c r="J122" s="7">
        <f t="shared" si="93"/>
        <v>0.51319050415473921</v>
      </c>
      <c r="K122" s="7">
        <f t="shared" si="93"/>
        <v>0.1828695687816051</v>
      </c>
      <c r="L122" s="7">
        <f t="shared" si="93"/>
        <v>0.18814721815809257</v>
      </c>
      <c r="M122" s="7">
        <f t="shared" ref="M122:P122" si="94">AVERAGE(M85:M89)*32.258/AVERAGE(M4:M8)</f>
        <v>0.21807365343338589</v>
      </c>
      <c r="N122" s="7">
        <f t="shared" si="94"/>
        <v>0.21282173031184903</v>
      </c>
      <c r="O122" s="7">
        <f t="shared" si="94"/>
        <v>0.28869797406573994</v>
      </c>
      <c r="P122" s="7">
        <f t="shared" si="94"/>
        <v>0.27843519173170839</v>
      </c>
    </row>
    <row r="123" spans="1:16" x14ac:dyDescent="0.2">
      <c r="M123" s="5"/>
      <c r="N123" s="5"/>
      <c r="O123" s="5"/>
      <c r="P123" s="5"/>
    </row>
  </sheetData>
  <mergeCells count="2">
    <mergeCell ref="A47:L47"/>
    <mergeCell ref="A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37BF-846E-BC45-9C98-7852F8EDAC94}">
  <dimension ref="A1:F176"/>
  <sheetViews>
    <sheetView tabSelected="1" zoomScaleNormal="100" workbookViewId="0">
      <selection activeCell="E6" sqref="E6"/>
    </sheetView>
  </sheetViews>
  <sheetFormatPr baseColWidth="10" defaultRowHeight="16" x14ac:dyDescent="0.2"/>
  <cols>
    <col min="2" max="2" width="21.6640625" customWidth="1"/>
    <col min="3" max="3" width="13" customWidth="1"/>
    <col min="4" max="4" width="15.1640625" customWidth="1"/>
  </cols>
  <sheetData>
    <row r="1" spans="1:6" x14ac:dyDescent="0.2">
      <c r="A1" s="12" t="s">
        <v>22</v>
      </c>
      <c r="B1" s="12" t="s">
        <v>23</v>
      </c>
      <c r="C1" s="12" t="s">
        <v>25</v>
      </c>
      <c r="D1" s="12" t="s">
        <v>30</v>
      </c>
    </row>
    <row r="2" spans="1:6" x14ac:dyDescent="0.2">
      <c r="A2" s="14">
        <v>0</v>
      </c>
      <c r="B2" s="13" t="s">
        <v>24</v>
      </c>
      <c r="C2" s="8">
        <v>0.80900000000000005</v>
      </c>
      <c r="D2" s="17">
        <v>0</v>
      </c>
    </row>
    <row r="3" spans="1:6" x14ac:dyDescent="0.2">
      <c r="A3" s="14">
        <v>0</v>
      </c>
      <c r="B3" s="13" t="s">
        <v>24</v>
      </c>
      <c r="C3" s="8">
        <v>0.80900000000000005</v>
      </c>
      <c r="D3" s="17">
        <v>0</v>
      </c>
    </row>
    <row r="4" spans="1:6" x14ac:dyDescent="0.2">
      <c r="A4" s="14">
        <v>0</v>
      </c>
      <c r="B4" s="13" t="s">
        <v>24</v>
      </c>
      <c r="C4" s="8">
        <v>0.81299999999999994</v>
      </c>
      <c r="D4" s="17">
        <v>0</v>
      </c>
    </row>
    <row r="5" spans="1:6" x14ac:dyDescent="0.2">
      <c r="A5" s="14">
        <v>0</v>
      </c>
      <c r="B5" s="13" t="s">
        <v>24</v>
      </c>
      <c r="C5" s="8">
        <v>0.80800000000000005</v>
      </c>
      <c r="D5" s="17">
        <v>0</v>
      </c>
    </row>
    <row r="6" spans="1:6" x14ac:dyDescent="0.2">
      <c r="A6" s="14">
        <v>0</v>
      </c>
      <c r="B6" s="13" t="s">
        <v>24</v>
      </c>
      <c r="C6" s="8">
        <v>0.80700000000000005</v>
      </c>
      <c r="D6" s="17">
        <v>0</v>
      </c>
    </row>
    <row r="7" spans="1:6" x14ac:dyDescent="0.2">
      <c r="A7" s="14">
        <v>10</v>
      </c>
      <c r="B7" s="13" t="s">
        <v>24</v>
      </c>
      <c r="C7" s="8">
        <v>0.89600000000000002</v>
      </c>
      <c r="D7" s="17">
        <v>5.9917355371900804E-3</v>
      </c>
    </row>
    <row r="8" spans="1:6" x14ac:dyDescent="0.2">
      <c r="A8" s="14">
        <v>10</v>
      </c>
      <c r="B8" s="13" t="s">
        <v>24</v>
      </c>
      <c r="C8" s="8">
        <v>0.88800000000000001</v>
      </c>
      <c r="D8" s="17">
        <v>5.440771349862256E-3</v>
      </c>
      <c r="F8" s="20"/>
    </row>
    <row r="9" spans="1:6" x14ac:dyDescent="0.2">
      <c r="A9" s="14">
        <v>10</v>
      </c>
      <c r="B9" s="13" t="s">
        <v>24</v>
      </c>
      <c r="C9" s="8">
        <v>0.89</v>
      </c>
      <c r="D9" s="17">
        <v>5.3030303030303077E-3</v>
      </c>
    </row>
    <row r="10" spans="1:6" x14ac:dyDescent="0.2">
      <c r="A10" s="14">
        <v>10</v>
      </c>
      <c r="B10" s="13" t="s">
        <v>24</v>
      </c>
      <c r="C10" s="8">
        <v>0.88900000000000001</v>
      </c>
      <c r="D10" s="17">
        <v>5.5785123966942121E-3</v>
      </c>
    </row>
    <row r="11" spans="1:6" x14ac:dyDescent="0.2">
      <c r="A11" s="14">
        <v>10</v>
      </c>
      <c r="B11" s="13" t="s">
        <v>24</v>
      </c>
      <c r="C11" s="8">
        <v>0.89300000000000002</v>
      </c>
      <c r="D11" s="17">
        <v>5.9228650137741028E-3</v>
      </c>
    </row>
    <row r="12" spans="1:6" x14ac:dyDescent="0.2">
      <c r="A12" s="14">
        <v>20</v>
      </c>
      <c r="B12" s="13" t="s">
        <v>24</v>
      </c>
      <c r="C12" s="8">
        <v>0.91800000000000004</v>
      </c>
      <c r="D12" s="17">
        <v>7.5068870523415966E-3</v>
      </c>
    </row>
    <row r="13" spans="1:6" x14ac:dyDescent="0.2">
      <c r="A13" s="14">
        <v>20</v>
      </c>
      <c r="B13" s="13" t="s">
        <v>24</v>
      </c>
      <c r="C13" s="8">
        <v>0.90700000000000003</v>
      </c>
      <c r="D13" s="17">
        <v>6.7493112947658385E-3</v>
      </c>
    </row>
    <row r="14" spans="1:6" x14ac:dyDescent="0.2">
      <c r="A14" s="14">
        <v>20</v>
      </c>
      <c r="B14" s="13" t="s">
        <v>24</v>
      </c>
      <c r="C14" s="8">
        <v>0.91300000000000003</v>
      </c>
      <c r="D14" s="17">
        <v>6.8870523415978024E-3</v>
      </c>
    </row>
    <row r="15" spans="1:6" x14ac:dyDescent="0.2">
      <c r="A15" s="14">
        <v>20</v>
      </c>
      <c r="B15" s="13" t="s">
        <v>24</v>
      </c>
      <c r="C15" s="8">
        <v>0.91500000000000004</v>
      </c>
      <c r="D15" s="17">
        <v>7.3691460055096414E-3</v>
      </c>
    </row>
    <row r="16" spans="1:6" x14ac:dyDescent="0.2">
      <c r="A16" s="14">
        <v>20</v>
      </c>
      <c r="B16" s="13" t="s">
        <v>24</v>
      </c>
      <c r="C16" s="8">
        <v>0.91700000000000004</v>
      </c>
      <c r="D16" s="17">
        <v>7.5757575757575751E-3</v>
      </c>
    </row>
    <row r="17" spans="1:4" x14ac:dyDescent="0.2">
      <c r="A17" s="14">
        <v>30</v>
      </c>
      <c r="B17" s="13" t="s">
        <v>24</v>
      </c>
      <c r="C17" s="8">
        <v>0.93899999999999995</v>
      </c>
      <c r="D17" s="17">
        <v>8.9531680440771283E-3</v>
      </c>
    </row>
    <row r="18" spans="1:4" x14ac:dyDescent="0.2">
      <c r="A18" s="14">
        <v>30</v>
      </c>
      <c r="B18" s="13" t="s">
        <v>24</v>
      </c>
      <c r="C18" s="8">
        <v>0.92500000000000004</v>
      </c>
      <c r="D18" s="17">
        <v>7.9889807162534434E-3</v>
      </c>
    </row>
    <row r="19" spans="1:4" x14ac:dyDescent="0.2">
      <c r="A19" s="14">
        <v>30</v>
      </c>
      <c r="B19" s="13" t="s">
        <v>24</v>
      </c>
      <c r="C19" s="8">
        <v>0.93</v>
      </c>
      <c r="D19" s="17">
        <v>8.0578512396694297E-3</v>
      </c>
    </row>
    <row r="20" spans="1:4" x14ac:dyDescent="0.2">
      <c r="A20" s="14">
        <v>30</v>
      </c>
      <c r="B20" s="13" t="s">
        <v>24</v>
      </c>
      <c r="C20" s="8">
        <v>0.93600000000000005</v>
      </c>
      <c r="D20" s="17">
        <v>8.81542699724518E-3</v>
      </c>
    </row>
    <row r="21" spans="1:4" x14ac:dyDescent="0.2">
      <c r="A21" s="14">
        <v>30</v>
      </c>
      <c r="B21" s="13" t="s">
        <v>24</v>
      </c>
      <c r="C21" s="8">
        <v>0.93899999999999995</v>
      </c>
      <c r="D21" s="17">
        <v>9.0909090909090835E-3</v>
      </c>
    </row>
    <row r="22" spans="1:4" x14ac:dyDescent="0.2">
      <c r="A22" s="14">
        <v>40</v>
      </c>
      <c r="B22" s="13" t="s">
        <v>24</v>
      </c>
      <c r="C22" s="8">
        <v>0.95199999999999996</v>
      </c>
      <c r="D22" s="17">
        <v>9.8484848484848425E-3</v>
      </c>
    </row>
    <row r="23" spans="1:4" x14ac:dyDescent="0.2">
      <c r="A23" s="14">
        <v>40</v>
      </c>
      <c r="B23" s="13" t="s">
        <v>24</v>
      </c>
      <c r="C23" s="8">
        <v>0.93899999999999995</v>
      </c>
      <c r="D23" s="17">
        <v>8.9531680440771283E-3</v>
      </c>
    </row>
    <row r="24" spans="1:4" x14ac:dyDescent="0.2">
      <c r="A24" s="14">
        <v>40</v>
      </c>
      <c r="B24" s="13" t="s">
        <v>24</v>
      </c>
      <c r="C24" s="8">
        <v>0.94299999999999995</v>
      </c>
      <c r="D24" s="17">
        <v>8.9531680440771352E-3</v>
      </c>
    </row>
    <row r="25" spans="1:4" x14ac:dyDescent="0.2">
      <c r="A25" s="14">
        <v>40</v>
      </c>
      <c r="B25" s="13" t="s">
        <v>24</v>
      </c>
      <c r="C25" s="8">
        <v>0.94799999999999995</v>
      </c>
      <c r="D25" s="17">
        <v>9.6418732782369079E-3</v>
      </c>
    </row>
    <row r="26" spans="1:4" x14ac:dyDescent="0.2">
      <c r="A26" s="14">
        <v>40</v>
      </c>
      <c r="B26" s="13" t="s">
        <v>24</v>
      </c>
      <c r="C26" s="8">
        <v>0.95199999999999996</v>
      </c>
      <c r="D26" s="17">
        <v>9.9862258953167977E-3</v>
      </c>
    </row>
    <row r="27" spans="1:4" x14ac:dyDescent="0.2">
      <c r="A27" s="14">
        <v>50</v>
      </c>
      <c r="B27" s="13" t="s">
        <v>24</v>
      </c>
      <c r="C27" s="8">
        <v>0.96499999999999997</v>
      </c>
      <c r="D27" s="17">
        <v>1.0743801652892557E-2</v>
      </c>
    </row>
    <row r="28" spans="1:4" x14ac:dyDescent="0.2">
      <c r="A28" s="14">
        <v>50</v>
      </c>
      <c r="B28" s="13" t="s">
        <v>24</v>
      </c>
      <c r="C28" s="8">
        <v>0.95399999999999996</v>
      </c>
      <c r="D28" s="17">
        <v>9.9862258953167977E-3</v>
      </c>
    </row>
    <row r="29" spans="1:4" x14ac:dyDescent="0.2">
      <c r="A29" s="14">
        <v>50</v>
      </c>
      <c r="B29" s="13" t="s">
        <v>24</v>
      </c>
      <c r="C29" s="8">
        <v>0.95599999999999996</v>
      </c>
      <c r="D29" s="17">
        <v>9.8484848484848495E-3</v>
      </c>
    </row>
    <row r="30" spans="1:4" x14ac:dyDescent="0.2">
      <c r="A30" s="14">
        <v>50</v>
      </c>
      <c r="B30" s="13" t="s">
        <v>24</v>
      </c>
      <c r="C30" s="8">
        <v>0.96099999999999997</v>
      </c>
      <c r="D30" s="17">
        <v>1.0537190082644622E-2</v>
      </c>
    </row>
    <row r="31" spans="1:4" x14ac:dyDescent="0.2">
      <c r="A31" s="14">
        <v>50</v>
      </c>
      <c r="B31" s="13" t="s">
        <v>24</v>
      </c>
      <c r="C31" s="8">
        <v>0.96799999999999997</v>
      </c>
      <c r="D31" s="17">
        <v>1.1088154269972447E-2</v>
      </c>
    </row>
    <row r="32" spans="1:4" x14ac:dyDescent="0.2">
      <c r="A32" s="14">
        <v>60</v>
      </c>
      <c r="B32" s="13" t="s">
        <v>24</v>
      </c>
      <c r="C32" s="8">
        <v>0.97699999999999998</v>
      </c>
      <c r="D32" s="17">
        <v>1.1570247933884293E-2</v>
      </c>
    </row>
    <row r="33" spans="1:4" x14ac:dyDescent="0.2">
      <c r="A33" s="14">
        <v>60</v>
      </c>
      <c r="B33" s="13" t="s">
        <v>24</v>
      </c>
      <c r="C33" s="8">
        <v>0.96599999999999997</v>
      </c>
      <c r="D33" s="17">
        <v>1.0812672176308534E-2</v>
      </c>
    </row>
    <row r="34" spans="1:4" x14ac:dyDescent="0.2">
      <c r="A34" s="14">
        <v>60</v>
      </c>
      <c r="B34" s="13" t="s">
        <v>24</v>
      </c>
      <c r="C34" s="8">
        <v>0.97599999999999998</v>
      </c>
      <c r="D34" s="17">
        <v>1.122589531680441E-2</v>
      </c>
    </row>
    <row r="35" spans="1:4" x14ac:dyDescent="0.2">
      <c r="A35" s="14">
        <v>60</v>
      </c>
      <c r="B35" s="13" t="s">
        <v>24</v>
      </c>
      <c r="C35" s="8">
        <v>0.97099999999999997</v>
      </c>
      <c r="D35" s="17">
        <v>1.1225895316804404E-2</v>
      </c>
    </row>
    <row r="36" spans="1:4" x14ac:dyDescent="0.2">
      <c r="A36" s="14">
        <v>60</v>
      </c>
      <c r="B36" s="13" t="s">
        <v>24</v>
      </c>
      <c r="C36" s="8">
        <v>0.97599999999999998</v>
      </c>
      <c r="D36" s="17">
        <v>1.1639118457300271E-2</v>
      </c>
    </row>
    <row r="37" spans="1:4" x14ac:dyDescent="0.2">
      <c r="A37" s="14">
        <v>0</v>
      </c>
      <c r="B37" s="13" t="s">
        <v>26</v>
      </c>
      <c r="C37" s="8">
        <v>0.77200000000000002</v>
      </c>
      <c r="D37" s="17">
        <v>0</v>
      </c>
    </row>
    <row r="38" spans="1:4" x14ac:dyDescent="0.2">
      <c r="A38" s="14">
        <v>0</v>
      </c>
      <c r="B38" s="13" t="s">
        <v>26</v>
      </c>
      <c r="C38" s="8">
        <v>0.78200000000000003</v>
      </c>
      <c r="D38" s="17">
        <v>0</v>
      </c>
    </row>
    <row r="39" spans="1:4" x14ac:dyDescent="0.2">
      <c r="A39" s="14">
        <v>0</v>
      </c>
      <c r="B39" s="13" t="s">
        <v>26</v>
      </c>
      <c r="C39" s="8">
        <v>0.78200000000000003</v>
      </c>
      <c r="D39" s="17">
        <v>0</v>
      </c>
    </row>
    <row r="40" spans="1:4" x14ac:dyDescent="0.2">
      <c r="A40" s="14">
        <v>0</v>
      </c>
      <c r="B40" s="13" t="s">
        <v>26</v>
      </c>
      <c r="C40" s="8">
        <v>0.78400000000000003</v>
      </c>
      <c r="D40" s="17">
        <v>0</v>
      </c>
    </row>
    <row r="41" spans="1:4" x14ac:dyDescent="0.2">
      <c r="A41" s="14">
        <v>0</v>
      </c>
      <c r="B41" s="13" t="s">
        <v>26</v>
      </c>
      <c r="C41" s="8">
        <v>0.78300000000000003</v>
      </c>
      <c r="D41" s="17">
        <v>0</v>
      </c>
    </row>
    <row r="42" spans="1:4" x14ac:dyDescent="0.2">
      <c r="A42" s="14">
        <v>10</v>
      </c>
      <c r="B42" s="13" t="s">
        <v>26</v>
      </c>
      <c r="C42" s="8">
        <v>0.877</v>
      </c>
      <c r="D42" s="17">
        <v>6.5426997245179126E-3</v>
      </c>
    </row>
    <row r="43" spans="1:4" x14ac:dyDescent="0.2">
      <c r="A43" s="14">
        <v>10</v>
      </c>
      <c r="B43" s="13" t="s">
        <v>26</v>
      </c>
      <c r="C43" s="8">
        <v>0.91500000000000004</v>
      </c>
      <c r="D43" s="17">
        <v>7.0936639118457361E-3</v>
      </c>
    </row>
    <row r="44" spans="1:4" x14ac:dyDescent="0.2">
      <c r="A44" s="14">
        <v>10</v>
      </c>
      <c r="B44" s="13" t="s">
        <v>26</v>
      </c>
      <c r="C44" s="8">
        <v>0.90900000000000003</v>
      </c>
      <c r="D44" s="17">
        <v>7.7823691460055166E-3</v>
      </c>
    </row>
    <row r="45" spans="1:4" x14ac:dyDescent="0.2">
      <c r="A45" s="14">
        <v>10</v>
      </c>
      <c r="B45" s="13" t="s">
        <v>26</v>
      </c>
      <c r="C45" s="8">
        <v>0.89600000000000002</v>
      </c>
      <c r="D45" s="17">
        <v>8.3333333333333402E-3</v>
      </c>
    </row>
    <row r="46" spans="1:4" x14ac:dyDescent="0.2">
      <c r="A46" s="14">
        <v>10</v>
      </c>
      <c r="B46" s="13" t="s">
        <v>26</v>
      </c>
      <c r="C46" s="8">
        <v>0.879</v>
      </c>
      <c r="D46" s="17">
        <v>7.1625344352617068E-3</v>
      </c>
    </row>
    <row r="47" spans="1:4" x14ac:dyDescent="0.2">
      <c r="A47" s="14">
        <v>20</v>
      </c>
      <c r="B47" s="13" t="s">
        <v>26</v>
      </c>
      <c r="C47" s="8">
        <v>0.90600000000000003</v>
      </c>
      <c r="D47" s="17">
        <v>8.6088154269972454E-3</v>
      </c>
    </row>
    <row r="48" spans="1:4" x14ac:dyDescent="0.2">
      <c r="A48" s="14">
        <v>20</v>
      </c>
      <c r="B48" s="13" t="s">
        <v>26</v>
      </c>
      <c r="C48" s="8">
        <v>0.94199999999999995</v>
      </c>
      <c r="D48" s="17">
        <v>8.7465564738292007E-3</v>
      </c>
    </row>
    <row r="49" spans="1:4" x14ac:dyDescent="0.2">
      <c r="A49" s="14">
        <v>20</v>
      </c>
      <c r="B49" s="13" t="s">
        <v>26</v>
      </c>
      <c r="C49" s="8">
        <v>0.93799999999999994</v>
      </c>
      <c r="D49" s="17">
        <v>9.7796143250688718E-3</v>
      </c>
    </row>
    <row r="50" spans="1:4" x14ac:dyDescent="0.2">
      <c r="A50" s="14">
        <v>20</v>
      </c>
      <c r="B50" s="13" t="s">
        <v>26</v>
      </c>
      <c r="C50" s="8">
        <v>0.92800000000000005</v>
      </c>
      <c r="D50" s="17">
        <v>1.0743801652892564E-2</v>
      </c>
    </row>
    <row r="51" spans="1:4" x14ac:dyDescent="0.2">
      <c r="A51" s="14">
        <v>20</v>
      </c>
      <c r="B51" s="13" t="s">
        <v>26</v>
      </c>
      <c r="C51" s="8">
        <v>0.90900000000000003</v>
      </c>
      <c r="D51" s="17">
        <v>1.0468319559228645E-2</v>
      </c>
    </row>
    <row r="52" spans="1:4" x14ac:dyDescent="0.2">
      <c r="A52" s="14">
        <v>30</v>
      </c>
      <c r="B52" s="13" t="s">
        <v>26</v>
      </c>
      <c r="C52" s="8">
        <v>0.94299999999999995</v>
      </c>
      <c r="D52" s="17">
        <v>9.8484848484848495E-3</v>
      </c>
    </row>
    <row r="53" spans="1:4" x14ac:dyDescent="0.2">
      <c r="A53" s="14">
        <v>30</v>
      </c>
      <c r="B53" s="13" t="s">
        <v>26</v>
      </c>
      <c r="C53" s="8">
        <v>0.96099999999999997</v>
      </c>
      <c r="D53" s="17">
        <v>1.1294765840220388E-2</v>
      </c>
    </row>
    <row r="54" spans="1:4" x14ac:dyDescent="0.2">
      <c r="A54" s="14">
        <v>30</v>
      </c>
      <c r="B54" s="13" t="s">
        <v>26</v>
      </c>
      <c r="C54" s="8">
        <v>0.95799999999999996</v>
      </c>
      <c r="D54" s="17">
        <v>1.1294765840220388E-2</v>
      </c>
    </row>
    <row r="55" spans="1:4" x14ac:dyDescent="0.2">
      <c r="A55" s="14">
        <v>30</v>
      </c>
      <c r="B55" s="13" t="s">
        <v>26</v>
      </c>
      <c r="C55" s="8">
        <v>0.94699999999999995</v>
      </c>
      <c r="D55" s="17">
        <v>1.2534435261707992E-2</v>
      </c>
    </row>
    <row r="56" spans="1:4" x14ac:dyDescent="0.2">
      <c r="A56" s="14">
        <v>30</v>
      </c>
      <c r="B56" s="13" t="s">
        <v>26</v>
      </c>
      <c r="C56" s="8">
        <v>0.92500000000000004</v>
      </c>
      <c r="D56" s="17">
        <v>1.2878787878787875E-2</v>
      </c>
    </row>
    <row r="57" spans="1:4" x14ac:dyDescent="0.2">
      <c r="A57" s="14">
        <v>40</v>
      </c>
      <c r="B57" s="13" t="s">
        <v>26</v>
      </c>
      <c r="C57" s="8">
        <v>0.98399999999999999</v>
      </c>
      <c r="D57" s="17">
        <v>1.0606060606060608E-2</v>
      </c>
    </row>
    <row r="58" spans="1:4" x14ac:dyDescent="0.2">
      <c r="A58" s="14">
        <v>40</v>
      </c>
      <c r="B58" s="13" t="s">
        <v>26</v>
      </c>
      <c r="C58" s="8">
        <v>0.98399999999999999</v>
      </c>
      <c r="D58" s="17">
        <v>1.3085399449035817E-2</v>
      </c>
    </row>
    <row r="59" spans="1:4" x14ac:dyDescent="0.2">
      <c r="A59" s="14">
        <v>40</v>
      </c>
      <c r="B59" s="13" t="s">
        <v>26</v>
      </c>
      <c r="C59" s="8">
        <v>0.97599999999999998</v>
      </c>
      <c r="D59" s="17">
        <v>1.2878787878787884E-2</v>
      </c>
    </row>
    <row r="60" spans="1:4" x14ac:dyDescent="0.2">
      <c r="A60" s="14">
        <v>40</v>
      </c>
      <c r="B60" s="13" t="s">
        <v>26</v>
      </c>
      <c r="C60" s="8">
        <v>0.96699999999999997</v>
      </c>
      <c r="D60" s="17">
        <v>1.4393939393939391E-2</v>
      </c>
    </row>
    <row r="61" spans="1:4" x14ac:dyDescent="0.2">
      <c r="A61" s="14">
        <v>40</v>
      </c>
      <c r="B61" s="13" t="s">
        <v>26</v>
      </c>
      <c r="C61" s="8">
        <v>0.93899999999999995</v>
      </c>
      <c r="D61" s="17">
        <v>1.4462809917355371E-2</v>
      </c>
    </row>
    <row r="62" spans="1:4" x14ac:dyDescent="0.2">
      <c r="A62" s="14">
        <v>50</v>
      </c>
      <c r="B62" s="13" t="s">
        <v>26</v>
      </c>
      <c r="C62" s="8">
        <v>0.997</v>
      </c>
      <c r="D62" s="17">
        <v>1.3223140495867765E-2</v>
      </c>
    </row>
    <row r="63" spans="1:4" x14ac:dyDescent="0.2">
      <c r="A63" s="14">
        <v>50</v>
      </c>
      <c r="B63" s="13" t="s">
        <v>26</v>
      </c>
      <c r="C63" s="8">
        <v>0.99199999999999999</v>
      </c>
      <c r="D63" s="17">
        <v>1.4669421487603303E-2</v>
      </c>
    </row>
    <row r="64" spans="1:4" x14ac:dyDescent="0.2">
      <c r="A64" s="14">
        <v>50</v>
      </c>
      <c r="B64" s="13" t="s">
        <v>26</v>
      </c>
      <c r="C64" s="8">
        <v>0.98899999999999999</v>
      </c>
      <c r="D64" s="17">
        <v>1.4325068870523414E-2</v>
      </c>
    </row>
    <row r="65" spans="1:4" x14ac:dyDescent="0.2">
      <c r="A65" s="14">
        <v>50</v>
      </c>
      <c r="B65" s="13" t="s">
        <v>26</v>
      </c>
      <c r="C65" s="8">
        <v>0.97899999999999998</v>
      </c>
      <c r="D65" s="17">
        <v>1.5977961432506894E-2</v>
      </c>
    </row>
    <row r="66" spans="1:4" x14ac:dyDescent="0.2">
      <c r="A66" s="14">
        <v>50</v>
      </c>
      <c r="B66" s="13" t="s">
        <v>26</v>
      </c>
      <c r="C66" s="8">
        <v>0.95199999999999996</v>
      </c>
      <c r="D66" s="17">
        <v>1.6184573002754814E-2</v>
      </c>
    </row>
    <row r="67" spans="1:4" x14ac:dyDescent="0.2">
      <c r="A67" s="14">
        <v>60</v>
      </c>
      <c r="B67" s="13" t="s">
        <v>26</v>
      </c>
      <c r="C67" s="8">
        <v>1.0089999999999999</v>
      </c>
      <c r="D67" s="17">
        <v>1.515151515151515E-2</v>
      </c>
    </row>
    <row r="68" spans="1:4" x14ac:dyDescent="0.2">
      <c r="A68" s="14">
        <v>60</v>
      </c>
      <c r="B68" s="13" t="s">
        <v>26</v>
      </c>
      <c r="C68" s="8">
        <v>1</v>
      </c>
      <c r="D68" s="17">
        <v>1.5771349862258952E-2</v>
      </c>
    </row>
    <row r="69" spans="1:4" x14ac:dyDescent="0.2">
      <c r="A69" s="14">
        <v>60</v>
      </c>
      <c r="B69" s="13" t="s">
        <v>26</v>
      </c>
      <c r="C69" s="8">
        <v>0.997</v>
      </c>
      <c r="D69" s="17">
        <v>1.5633608815427004E-2</v>
      </c>
    </row>
    <row r="70" spans="1:4" x14ac:dyDescent="0.2">
      <c r="A70" s="14">
        <v>60</v>
      </c>
      <c r="B70" s="13" t="s">
        <v>26</v>
      </c>
      <c r="C70" s="8">
        <v>0.98699999999999999</v>
      </c>
      <c r="D70" s="17">
        <v>1.7079889807162543E-2</v>
      </c>
    </row>
    <row r="71" spans="1:4" x14ac:dyDescent="0.2">
      <c r="A71" s="14">
        <v>60</v>
      </c>
      <c r="B71" s="13" t="s">
        <v>26</v>
      </c>
      <c r="C71" s="8">
        <v>0.96199999999999997</v>
      </c>
      <c r="D71" s="17">
        <v>1.8181818181818184E-2</v>
      </c>
    </row>
    <row r="72" spans="1:4" x14ac:dyDescent="0.2">
      <c r="A72" s="14">
        <v>0</v>
      </c>
      <c r="B72" s="13" t="s">
        <v>27</v>
      </c>
      <c r="C72" s="8">
        <v>0.80500000000000005</v>
      </c>
      <c r="D72" s="17">
        <v>0</v>
      </c>
    </row>
    <row r="73" spans="1:4" x14ac:dyDescent="0.2">
      <c r="A73" s="14">
        <v>0</v>
      </c>
      <c r="B73" s="13" t="s">
        <v>27</v>
      </c>
      <c r="C73" s="8">
        <v>0.80400000000000005</v>
      </c>
      <c r="D73" s="17">
        <v>0</v>
      </c>
    </row>
    <row r="74" spans="1:4" x14ac:dyDescent="0.2">
      <c r="A74" s="14">
        <v>0</v>
      </c>
      <c r="B74" s="13" t="s">
        <v>27</v>
      </c>
      <c r="C74" s="8">
        <v>0.80300000000000005</v>
      </c>
      <c r="D74" s="17">
        <v>0</v>
      </c>
    </row>
    <row r="75" spans="1:4" x14ac:dyDescent="0.2">
      <c r="A75" s="14">
        <v>0</v>
      </c>
      <c r="B75" s="13" t="s">
        <v>27</v>
      </c>
      <c r="C75" s="8">
        <v>0.80500000000000005</v>
      </c>
      <c r="D75" s="17">
        <v>0</v>
      </c>
    </row>
    <row r="76" spans="1:4" x14ac:dyDescent="0.2">
      <c r="A76" s="14">
        <v>0</v>
      </c>
      <c r="B76" s="13" t="s">
        <v>27</v>
      </c>
      <c r="C76" s="8">
        <v>0.80200000000000005</v>
      </c>
      <c r="D76" s="17">
        <v>0</v>
      </c>
    </row>
    <row r="77" spans="1:4" x14ac:dyDescent="0.2">
      <c r="A77" s="14">
        <v>10</v>
      </c>
      <c r="B77" s="13" t="s">
        <v>27</v>
      </c>
      <c r="C77" s="8">
        <v>0.91800000000000004</v>
      </c>
      <c r="D77" s="17">
        <v>9.2286501377410405E-3</v>
      </c>
    </row>
    <row r="78" spans="1:4" x14ac:dyDescent="0.2">
      <c r="A78" s="14">
        <v>10</v>
      </c>
      <c r="B78" s="13" t="s">
        <v>27</v>
      </c>
      <c r="C78" s="8">
        <v>0.90400000000000003</v>
      </c>
      <c r="D78" s="17">
        <v>9.2286501377410405E-3</v>
      </c>
    </row>
    <row r="79" spans="1:4" x14ac:dyDescent="0.2">
      <c r="A79" s="14">
        <v>10</v>
      </c>
      <c r="B79" s="13" t="s">
        <v>27</v>
      </c>
      <c r="C79" s="8">
        <v>0.9</v>
      </c>
      <c r="D79" s="17">
        <v>8.8154269972451713E-3</v>
      </c>
    </row>
    <row r="80" spans="1:4" x14ac:dyDescent="0.2">
      <c r="A80" s="14">
        <v>10</v>
      </c>
      <c r="B80" s="13" t="s">
        <v>27</v>
      </c>
      <c r="C80" s="8">
        <v>0.90700000000000003</v>
      </c>
      <c r="D80" s="17">
        <v>1.0399449035812667E-2</v>
      </c>
    </row>
    <row r="81" spans="1:4" x14ac:dyDescent="0.2">
      <c r="A81" s="14">
        <v>10</v>
      </c>
      <c r="B81" s="13" t="s">
        <v>27</v>
      </c>
      <c r="C81" s="8">
        <v>0.89900000000000002</v>
      </c>
      <c r="D81" s="17">
        <v>7.9201101928374658E-3</v>
      </c>
    </row>
    <row r="82" spans="1:4" x14ac:dyDescent="0.2">
      <c r="A82" s="14">
        <v>20</v>
      </c>
      <c r="B82" s="13" t="s">
        <v>27</v>
      </c>
      <c r="C82" s="8">
        <v>0.95399999999999996</v>
      </c>
      <c r="D82" s="17">
        <v>1.2327823691460051E-2</v>
      </c>
    </row>
    <row r="83" spans="1:4" x14ac:dyDescent="0.2">
      <c r="A83" s="14">
        <v>20</v>
      </c>
      <c r="B83" s="13" t="s">
        <v>27</v>
      </c>
      <c r="C83" s="8">
        <v>0.93400000000000005</v>
      </c>
      <c r="D83" s="17">
        <v>1.308539944903581E-2</v>
      </c>
    </row>
    <row r="84" spans="1:4" x14ac:dyDescent="0.2">
      <c r="A84" s="14">
        <v>20</v>
      </c>
      <c r="B84" s="13" t="s">
        <v>27</v>
      </c>
      <c r="C84" s="8">
        <v>0.92600000000000005</v>
      </c>
      <c r="D84" s="17">
        <v>1.2190082644628095E-2</v>
      </c>
    </row>
    <row r="85" spans="1:4" x14ac:dyDescent="0.2">
      <c r="A85" s="14">
        <v>20</v>
      </c>
      <c r="B85" s="13" t="s">
        <v>27</v>
      </c>
      <c r="C85" s="8">
        <v>0.93400000000000005</v>
      </c>
      <c r="D85" s="17">
        <v>1.4462809917355371E-2</v>
      </c>
    </row>
    <row r="86" spans="1:4" x14ac:dyDescent="0.2">
      <c r="A86" s="14">
        <v>20</v>
      </c>
      <c r="B86" s="13" t="s">
        <v>27</v>
      </c>
      <c r="C86" s="8">
        <v>0.92200000000000004</v>
      </c>
      <c r="D86" s="17">
        <v>9.7796143250688649E-3</v>
      </c>
    </row>
    <row r="87" spans="1:4" x14ac:dyDescent="0.2">
      <c r="A87" s="14">
        <v>30</v>
      </c>
      <c r="B87" s="13" t="s">
        <v>27</v>
      </c>
      <c r="C87" s="8">
        <v>0.97599999999999998</v>
      </c>
      <c r="D87" s="17">
        <v>1.4118457300275472E-2</v>
      </c>
    </row>
    <row r="88" spans="1:4" x14ac:dyDescent="0.2">
      <c r="A88" s="14">
        <v>30</v>
      </c>
      <c r="B88" s="13" t="s">
        <v>27</v>
      </c>
      <c r="C88" s="8">
        <v>0.94799999999999995</v>
      </c>
      <c r="D88" s="17">
        <v>1.6460055096418725E-2</v>
      </c>
    </row>
    <row r="89" spans="1:4" x14ac:dyDescent="0.2">
      <c r="A89" s="14">
        <v>30</v>
      </c>
      <c r="B89" s="13" t="s">
        <v>27</v>
      </c>
      <c r="C89" s="8">
        <v>0.94299999999999995</v>
      </c>
      <c r="D89" s="17">
        <v>1.384297520661156E-2</v>
      </c>
    </row>
    <row r="90" spans="1:4" x14ac:dyDescent="0.2">
      <c r="A90" s="14">
        <v>30</v>
      </c>
      <c r="B90" s="13" t="s">
        <v>27</v>
      </c>
      <c r="C90" s="8">
        <v>0.95199999999999996</v>
      </c>
      <c r="D90" s="17">
        <v>1.6666666666666666E-2</v>
      </c>
    </row>
    <row r="91" spans="1:4" x14ac:dyDescent="0.2">
      <c r="A91" s="14">
        <v>30</v>
      </c>
      <c r="B91" s="13" t="s">
        <v>27</v>
      </c>
      <c r="C91" s="8">
        <v>0.93899999999999995</v>
      </c>
      <c r="D91" s="17">
        <v>1.1707988980716249E-2</v>
      </c>
    </row>
    <row r="92" spans="1:4" x14ac:dyDescent="0.2">
      <c r="A92" s="14">
        <v>40</v>
      </c>
      <c r="B92" s="13" t="s">
        <v>27</v>
      </c>
      <c r="C92" s="8">
        <v>0.996</v>
      </c>
      <c r="D92" s="17">
        <v>1.515151515151515E-2</v>
      </c>
    </row>
    <row r="93" spans="1:4" x14ac:dyDescent="0.2">
      <c r="A93" s="14">
        <v>40</v>
      </c>
      <c r="B93" s="13" t="s">
        <v>27</v>
      </c>
      <c r="C93" s="8">
        <v>0.95499999999999996</v>
      </c>
      <c r="D93" s="17">
        <v>1.859504132231405E-2</v>
      </c>
    </row>
    <row r="94" spans="1:4" x14ac:dyDescent="0.2">
      <c r="A94" s="14">
        <v>40</v>
      </c>
      <c r="B94" s="13" t="s">
        <v>27</v>
      </c>
      <c r="C94" s="8">
        <v>0.95099999999999996</v>
      </c>
      <c r="D94" s="17">
        <v>1.6046831955922856E-2</v>
      </c>
    </row>
    <row r="95" spans="1:4" x14ac:dyDescent="0.2">
      <c r="A95" s="14">
        <v>40</v>
      </c>
      <c r="B95" s="13" t="s">
        <v>27</v>
      </c>
      <c r="C95" s="8">
        <v>0.95699999999999996</v>
      </c>
      <c r="D95" s="17">
        <v>1.9146005509641875E-2</v>
      </c>
    </row>
    <row r="96" spans="1:4" x14ac:dyDescent="0.2">
      <c r="A96" s="14">
        <v>40</v>
      </c>
      <c r="B96" s="13" t="s">
        <v>27</v>
      </c>
      <c r="C96" s="8">
        <v>0.94699999999999995</v>
      </c>
      <c r="D96" s="17">
        <v>1.308539944903581E-2</v>
      </c>
    </row>
    <row r="97" spans="1:4" x14ac:dyDescent="0.2">
      <c r="A97" s="14">
        <v>50</v>
      </c>
      <c r="B97" s="13" t="s">
        <v>27</v>
      </c>
      <c r="C97" s="8">
        <v>1.0029999999999999</v>
      </c>
      <c r="D97" s="17">
        <v>1.6115702479338842E-2</v>
      </c>
    </row>
    <row r="98" spans="1:4" x14ac:dyDescent="0.2">
      <c r="A98" s="14">
        <v>50</v>
      </c>
      <c r="B98" s="13" t="s">
        <v>27</v>
      </c>
      <c r="C98" s="8">
        <v>0.97</v>
      </c>
      <c r="D98" s="17">
        <v>1.9283746556473833E-2</v>
      </c>
    </row>
    <row r="99" spans="1:4" x14ac:dyDescent="0.2">
      <c r="A99" s="14">
        <v>50</v>
      </c>
      <c r="B99" s="13" t="s">
        <v>27</v>
      </c>
      <c r="C99" s="8">
        <v>0.96499999999999997</v>
      </c>
      <c r="D99" s="17">
        <v>1.6804407713498622E-2</v>
      </c>
    </row>
    <row r="100" spans="1:4" x14ac:dyDescent="0.2">
      <c r="A100" s="14">
        <v>50</v>
      </c>
      <c r="B100" s="13" t="s">
        <v>27</v>
      </c>
      <c r="C100" s="8">
        <v>0.96799999999999997</v>
      </c>
      <c r="D100" s="17">
        <v>2.0523415977961437E-2</v>
      </c>
    </row>
    <row r="101" spans="1:4" x14ac:dyDescent="0.2">
      <c r="A101" s="14">
        <v>50</v>
      </c>
      <c r="B101" s="13" t="s">
        <v>27</v>
      </c>
      <c r="C101" s="8">
        <v>0.95599999999999996</v>
      </c>
      <c r="D101" s="17">
        <v>1.4049586776859494E-2</v>
      </c>
    </row>
    <row r="102" spans="1:4" x14ac:dyDescent="0.2">
      <c r="A102" s="14">
        <v>60</v>
      </c>
      <c r="B102" s="13" t="s">
        <v>27</v>
      </c>
      <c r="C102" s="10">
        <v>1.0109999999999999</v>
      </c>
      <c r="D102" s="17">
        <v>1.763085399449036E-2</v>
      </c>
    </row>
    <row r="103" spans="1:4" x14ac:dyDescent="0.2">
      <c r="A103" s="14">
        <v>60</v>
      </c>
      <c r="B103" s="13" t="s">
        <v>27</v>
      </c>
      <c r="C103" s="10">
        <v>0.98099999999999998</v>
      </c>
      <c r="D103" s="17">
        <v>2.1625344352617086E-2</v>
      </c>
    </row>
    <row r="104" spans="1:4" x14ac:dyDescent="0.2">
      <c r="A104" s="14">
        <v>60</v>
      </c>
      <c r="B104" s="13" t="s">
        <v>27</v>
      </c>
      <c r="C104" s="10">
        <v>0.96499999999999997</v>
      </c>
      <c r="D104" s="17">
        <v>1.9559228650137744E-2</v>
      </c>
    </row>
    <row r="105" spans="1:4" x14ac:dyDescent="0.2">
      <c r="A105" s="14">
        <v>60</v>
      </c>
      <c r="B105" s="13" t="s">
        <v>27</v>
      </c>
      <c r="C105" s="10">
        <v>0.97899999999999998</v>
      </c>
      <c r="D105" s="17">
        <v>2.2038567493112952E-2</v>
      </c>
    </row>
    <row r="106" spans="1:4" x14ac:dyDescent="0.2">
      <c r="A106" s="14">
        <v>60</v>
      </c>
      <c r="B106" s="13" t="s">
        <v>27</v>
      </c>
      <c r="C106" s="10">
        <v>0.96099999999999997</v>
      </c>
      <c r="D106" s="17">
        <v>1.6460055096418732E-2</v>
      </c>
    </row>
    <row r="107" spans="1:4" x14ac:dyDescent="0.2">
      <c r="A107" s="14">
        <v>0</v>
      </c>
      <c r="B107" s="13" t="s">
        <v>28</v>
      </c>
      <c r="C107" s="8">
        <v>0.80800000000000005</v>
      </c>
      <c r="D107" s="17">
        <v>0</v>
      </c>
    </row>
    <row r="108" spans="1:4" x14ac:dyDescent="0.2">
      <c r="A108" s="14">
        <v>0</v>
      </c>
      <c r="B108" s="13" t="s">
        <v>28</v>
      </c>
      <c r="C108" s="8">
        <v>0.81699999999999995</v>
      </c>
      <c r="D108" s="17">
        <v>0</v>
      </c>
    </row>
    <row r="109" spans="1:4" x14ac:dyDescent="0.2">
      <c r="A109" s="14">
        <v>0</v>
      </c>
      <c r="B109" s="13" t="s">
        <v>28</v>
      </c>
      <c r="C109" s="8">
        <v>0.81599999999999995</v>
      </c>
      <c r="D109" s="17">
        <v>0</v>
      </c>
    </row>
    <row r="110" spans="1:4" x14ac:dyDescent="0.2">
      <c r="A110" s="14">
        <v>0</v>
      </c>
      <c r="B110" s="13" t="s">
        <v>28</v>
      </c>
      <c r="C110" s="8">
        <v>0.80400000000000005</v>
      </c>
      <c r="D110" s="17">
        <v>0</v>
      </c>
    </row>
    <row r="111" spans="1:4" x14ac:dyDescent="0.2">
      <c r="A111" s="14">
        <v>0</v>
      </c>
      <c r="B111" s="13" t="s">
        <v>28</v>
      </c>
      <c r="C111" s="8">
        <v>0.80400000000000005</v>
      </c>
      <c r="D111" s="17">
        <v>0</v>
      </c>
    </row>
    <row r="112" spans="1:4" x14ac:dyDescent="0.2">
      <c r="A112" s="14">
        <v>10</v>
      </c>
      <c r="B112" s="13" t="s">
        <v>28</v>
      </c>
      <c r="C112" s="8">
        <v>0.86299999999999999</v>
      </c>
      <c r="D112" s="17">
        <v>5.5096418732782423E-3</v>
      </c>
    </row>
    <row r="113" spans="1:4" x14ac:dyDescent="0.2">
      <c r="A113" s="14">
        <v>10</v>
      </c>
      <c r="B113" s="13" t="s">
        <v>28</v>
      </c>
      <c r="C113" s="8">
        <v>0.874</v>
      </c>
      <c r="D113" s="17">
        <v>4.8209366391184618E-3</v>
      </c>
    </row>
    <row r="114" spans="1:4" x14ac:dyDescent="0.2">
      <c r="A114" s="14">
        <v>10</v>
      </c>
      <c r="B114" s="13" t="s">
        <v>28</v>
      </c>
      <c r="C114" s="8">
        <v>0.86499999999999999</v>
      </c>
      <c r="D114" s="17">
        <v>4.476584022038572E-3</v>
      </c>
    </row>
    <row r="115" spans="1:4" x14ac:dyDescent="0.2">
      <c r="A115" s="14">
        <v>10</v>
      </c>
      <c r="B115" s="13" t="s">
        <v>28</v>
      </c>
      <c r="C115" s="8">
        <v>0.85499999999999998</v>
      </c>
      <c r="D115" s="17">
        <v>5.2341597796143301E-3</v>
      </c>
    </row>
    <row r="116" spans="1:4" x14ac:dyDescent="0.2">
      <c r="A116" s="14">
        <v>10</v>
      </c>
      <c r="B116" s="13" t="s">
        <v>28</v>
      </c>
      <c r="C116" s="8">
        <v>0.85599999999999998</v>
      </c>
      <c r="D116" s="17">
        <v>4.7520661157024833E-3</v>
      </c>
    </row>
    <row r="117" spans="1:4" x14ac:dyDescent="0.2">
      <c r="A117" s="14">
        <v>20</v>
      </c>
      <c r="B117" s="13" t="s">
        <v>28</v>
      </c>
      <c r="C117" s="8">
        <v>0.877</v>
      </c>
      <c r="D117" s="17">
        <v>7.0247933884297585E-3</v>
      </c>
    </row>
    <row r="118" spans="1:4" x14ac:dyDescent="0.2">
      <c r="A118" s="14">
        <v>20</v>
      </c>
      <c r="B118" s="13" t="s">
        <v>28</v>
      </c>
      <c r="C118" s="8">
        <v>0.89100000000000001</v>
      </c>
      <c r="D118" s="17">
        <v>6.4049586776859565E-3</v>
      </c>
    </row>
    <row r="119" spans="1:4" x14ac:dyDescent="0.2">
      <c r="A119" s="14">
        <v>20</v>
      </c>
      <c r="B119" s="13" t="s">
        <v>28</v>
      </c>
      <c r="C119" s="8">
        <v>0.877</v>
      </c>
      <c r="D119" s="17">
        <v>5.9917355371900882E-3</v>
      </c>
    </row>
    <row r="120" spans="1:4" x14ac:dyDescent="0.2">
      <c r="A120" s="14">
        <v>20</v>
      </c>
      <c r="B120" s="13" t="s">
        <v>28</v>
      </c>
      <c r="C120" s="8">
        <v>0.86699999999999999</v>
      </c>
      <c r="D120" s="17">
        <v>6.4049586776859565E-3</v>
      </c>
    </row>
    <row r="121" spans="1:4" x14ac:dyDescent="0.2">
      <c r="A121" s="14">
        <v>20</v>
      </c>
      <c r="B121" s="13" t="s">
        <v>28</v>
      </c>
      <c r="C121" s="8">
        <v>0.86699999999999999</v>
      </c>
      <c r="D121" s="17">
        <v>6.1294765840220443E-3</v>
      </c>
    </row>
    <row r="122" spans="1:4" x14ac:dyDescent="0.2">
      <c r="A122" s="14">
        <v>30</v>
      </c>
      <c r="B122" s="13" t="s">
        <v>28</v>
      </c>
      <c r="C122" s="8">
        <v>0.88700000000000001</v>
      </c>
      <c r="D122" s="17">
        <v>7.9201101928374658E-3</v>
      </c>
    </row>
    <row r="123" spans="1:4" x14ac:dyDescent="0.2">
      <c r="A123" s="14">
        <v>30</v>
      </c>
      <c r="B123" s="13" t="s">
        <v>28</v>
      </c>
      <c r="C123" s="8">
        <v>0.9</v>
      </c>
      <c r="D123" s="17">
        <v>7.3002754820936629E-3</v>
      </c>
    </row>
    <row r="124" spans="1:4" x14ac:dyDescent="0.2">
      <c r="A124" s="14">
        <v>30</v>
      </c>
      <c r="B124" s="13" t="s">
        <v>28</v>
      </c>
      <c r="C124" s="8">
        <v>0.88700000000000001</v>
      </c>
      <c r="D124" s="17">
        <v>6.7493112947658463E-3</v>
      </c>
    </row>
    <row r="125" spans="1:4" x14ac:dyDescent="0.2">
      <c r="A125" s="14">
        <v>30</v>
      </c>
      <c r="B125" s="13" t="s">
        <v>28</v>
      </c>
      <c r="C125" s="8">
        <v>0.874</v>
      </c>
      <c r="D125" s="17">
        <v>7.5068870523415966E-3</v>
      </c>
    </row>
    <row r="126" spans="1:4" x14ac:dyDescent="0.2">
      <c r="A126" s="14">
        <v>30</v>
      </c>
      <c r="B126" s="13" t="s">
        <v>28</v>
      </c>
      <c r="C126" s="8">
        <v>0.876</v>
      </c>
      <c r="D126" s="17">
        <v>7.0936639118457292E-3</v>
      </c>
    </row>
    <row r="127" spans="1:4" x14ac:dyDescent="0.2">
      <c r="A127" s="14">
        <v>40</v>
      </c>
      <c r="B127" s="13" t="s">
        <v>28</v>
      </c>
      <c r="C127" s="8">
        <v>0.88900000000000001</v>
      </c>
      <c r="D127" s="17">
        <v>8.1267217630853986E-3</v>
      </c>
    </row>
    <row r="128" spans="1:4" x14ac:dyDescent="0.2">
      <c r="A128" s="14">
        <v>40</v>
      </c>
      <c r="B128" s="13" t="s">
        <v>28</v>
      </c>
      <c r="C128" s="8">
        <v>0.89800000000000002</v>
      </c>
      <c r="D128" s="17">
        <v>7.9889807162534434E-3</v>
      </c>
    </row>
    <row r="129" spans="1:4" x14ac:dyDescent="0.2">
      <c r="A129" s="14">
        <v>40</v>
      </c>
      <c r="B129" s="13" t="s">
        <v>28</v>
      </c>
      <c r="C129" s="8">
        <v>0.88800000000000001</v>
      </c>
      <c r="D129" s="17">
        <v>7.5068870523416044E-3</v>
      </c>
    </row>
    <row r="130" spans="1:4" x14ac:dyDescent="0.2">
      <c r="A130" s="14">
        <v>40</v>
      </c>
      <c r="B130" s="13" t="s">
        <v>28</v>
      </c>
      <c r="C130" s="8">
        <v>0.877</v>
      </c>
      <c r="D130" s="17">
        <v>8.4022038567493108E-3</v>
      </c>
    </row>
    <row r="131" spans="1:4" x14ac:dyDescent="0.2">
      <c r="A131" s="14">
        <v>40</v>
      </c>
      <c r="B131" s="13" t="s">
        <v>28</v>
      </c>
      <c r="C131" s="8">
        <v>0.875</v>
      </c>
      <c r="D131" s="17">
        <v>7.438016528925619E-3</v>
      </c>
    </row>
    <row r="132" spans="1:4" x14ac:dyDescent="0.2">
      <c r="A132" s="14">
        <v>50</v>
      </c>
      <c r="B132" s="13" t="s">
        <v>28</v>
      </c>
      <c r="C132" s="8">
        <v>0.9</v>
      </c>
      <c r="D132" s="17">
        <v>8.5399449035812678E-3</v>
      </c>
    </row>
    <row r="133" spans="1:4" x14ac:dyDescent="0.2">
      <c r="A133" s="14">
        <v>50</v>
      </c>
      <c r="B133" s="13" t="s">
        <v>28</v>
      </c>
      <c r="C133" s="8">
        <v>0.91400000000000003</v>
      </c>
      <c r="D133" s="17">
        <v>8.5399449035812678E-3</v>
      </c>
    </row>
    <row r="134" spans="1:4" x14ac:dyDescent="0.2">
      <c r="A134" s="14">
        <v>50</v>
      </c>
      <c r="B134" s="13" t="s">
        <v>28</v>
      </c>
      <c r="C134" s="8">
        <v>0.89500000000000002</v>
      </c>
      <c r="D134" s="17">
        <v>8.057851239669421E-3</v>
      </c>
    </row>
    <row r="135" spans="1:4" x14ac:dyDescent="0.2">
      <c r="A135" s="14">
        <v>50</v>
      </c>
      <c r="B135" s="13" t="s">
        <v>28</v>
      </c>
      <c r="C135" s="8">
        <v>0.88300000000000001</v>
      </c>
      <c r="D135" s="17">
        <v>8.81542699724518E-3</v>
      </c>
    </row>
    <row r="136" spans="1:4" x14ac:dyDescent="0.2">
      <c r="A136" s="14">
        <v>50</v>
      </c>
      <c r="B136" s="13" t="s">
        <v>28</v>
      </c>
      <c r="C136" s="8">
        <v>0.88300000000000001</v>
      </c>
      <c r="D136" s="17">
        <v>7.9201101928374658E-3</v>
      </c>
    </row>
    <row r="137" spans="1:4" x14ac:dyDescent="0.2">
      <c r="A137" s="14">
        <v>60</v>
      </c>
      <c r="B137" s="13" t="s">
        <v>28</v>
      </c>
      <c r="C137" s="8">
        <v>0.90500000000000003</v>
      </c>
      <c r="D137" s="17">
        <v>8.6088154269972454E-3</v>
      </c>
    </row>
    <row r="138" spans="1:4" x14ac:dyDescent="0.2">
      <c r="A138" s="14">
        <v>60</v>
      </c>
      <c r="B138" s="13" t="s">
        <v>28</v>
      </c>
      <c r="C138" s="8">
        <v>0.91500000000000004</v>
      </c>
      <c r="D138" s="17">
        <v>8.8842975206611576E-3</v>
      </c>
    </row>
    <row r="139" spans="1:4" x14ac:dyDescent="0.2">
      <c r="A139" s="14">
        <v>60</v>
      </c>
      <c r="B139" s="13" t="s">
        <v>28</v>
      </c>
      <c r="C139" s="8">
        <v>0.9</v>
      </c>
      <c r="D139" s="17">
        <v>8.6088154269972454E-3</v>
      </c>
    </row>
    <row r="140" spans="1:4" x14ac:dyDescent="0.2">
      <c r="A140" s="14">
        <v>60</v>
      </c>
      <c r="B140" s="13" t="s">
        <v>28</v>
      </c>
      <c r="C140" s="8">
        <v>0.88600000000000001</v>
      </c>
      <c r="D140" s="17">
        <v>9.1597796143250698E-3</v>
      </c>
    </row>
    <row r="141" spans="1:4" x14ac:dyDescent="0.2">
      <c r="A141" s="14">
        <v>60</v>
      </c>
      <c r="B141" s="13" t="s">
        <v>28</v>
      </c>
      <c r="C141" s="8">
        <v>0.89</v>
      </c>
      <c r="D141" s="17">
        <v>8.2644628099173556E-3</v>
      </c>
    </row>
    <row r="142" spans="1:4" x14ac:dyDescent="0.2">
      <c r="A142" s="14">
        <v>0</v>
      </c>
      <c r="B142" s="13" t="s">
        <v>29</v>
      </c>
      <c r="C142" s="8">
        <v>0.80900000000000005</v>
      </c>
      <c r="D142" s="17">
        <v>0</v>
      </c>
    </row>
    <row r="143" spans="1:4" x14ac:dyDescent="0.2">
      <c r="A143" s="14">
        <v>0</v>
      </c>
      <c r="B143" s="13" t="s">
        <v>29</v>
      </c>
      <c r="C143" s="8">
        <v>0.81200000000000006</v>
      </c>
      <c r="D143" s="17">
        <v>0</v>
      </c>
    </row>
    <row r="144" spans="1:4" x14ac:dyDescent="0.2">
      <c r="A144" s="14">
        <v>0</v>
      </c>
      <c r="B144" s="13" t="s">
        <v>29</v>
      </c>
      <c r="C144" s="8">
        <v>0.81100000000000005</v>
      </c>
      <c r="D144" s="17">
        <v>0</v>
      </c>
    </row>
    <row r="145" spans="1:4" x14ac:dyDescent="0.2">
      <c r="A145" s="14">
        <v>0</v>
      </c>
      <c r="B145" s="13" t="s">
        <v>29</v>
      </c>
      <c r="C145" s="8">
        <v>0.81200000000000006</v>
      </c>
      <c r="D145" s="17">
        <v>0</v>
      </c>
    </row>
    <row r="146" spans="1:4" x14ac:dyDescent="0.2">
      <c r="A146" s="14">
        <v>0</v>
      </c>
      <c r="B146" s="13" t="s">
        <v>29</v>
      </c>
      <c r="C146" s="8">
        <v>0.81200000000000006</v>
      </c>
      <c r="D146" s="17">
        <v>0</v>
      </c>
    </row>
    <row r="147" spans="1:4" x14ac:dyDescent="0.2">
      <c r="A147" s="14">
        <v>10</v>
      </c>
      <c r="B147" s="13" t="s">
        <v>29</v>
      </c>
      <c r="C147" s="8">
        <v>0.84199999999999997</v>
      </c>
      <c r="D147" s="17">
        <v>3.2369146005509671E-3</v>
      </c>
    </row>
    <row r="148" spans="1:4" x14ac:dyDescent="0.2">
      <c r="A148" s="14">
        <v>10</v>
      </c>
      <c r="B148" s="13" t="s">
        <v>29</v>
      </c>
      <c r="C148" s="8">
        <v>0.84599999999999997</v>
      </c>
      <c r="D148" s="17">
        <v>3.3746556473829232E-3</v>
      </c>
    </row>
    <row r="149" spans="1:4" x14ac:dyDescent="0.2">
      <c r="A149" s="14">
        <v>10</v>
      </c>
      <c r="B149" s="13" t="s">
        <v>29</v>
      </c>
      <c r="C149" s="8">
        <v>0.86499999999999999</v>
      </c>
      <c r="D149" s="17">
        <v>3.5812672176308573E-3</v>
      </c>
    </row>
    <row r="150" spans="1:4" x14ac:dyDescent="0.2">
      <c r="A150" s="14">
        <v>10</v>
      </c>
      <c r="B150" s="13" t="s">
        <v>29</v>
      </c>
      <c r="C150" s="8">
        <v>0.86</v>
      </c>
      <c r="D150" s="17">
        <v>3.7878787878787915E-3</v>
      </c>
    </row>
    <row r="151" spans="1:4" x14ac:dyDescent="0.2">
      <c r="A151" s="14">
        <v>10</v>
      </c>
      <c r="B151" s="13" t="s">
        <v>29</v>
      </c>
      <c r="C151" s="8">
        <v>0.86</v>
      </c>
      <c r="D151" s="17">
        <v>3.5812672176308573E-3</v>
      </c>
    </row>
    <row r="152" spans="1:4" x14ac:dyDescent="0.2">
      <c r="A152" s="14">
        <v>20</v>
      </c>
      <c r="B152" s="13" t="s">
        <v>29</v>
      </c>
      <c r="C152" s="8">
        <v>0.85699999999999998</v>
      </c>
      <c r="D152" s="17">
        <v>4.2699724517906374E-3</v>
      </c>
    </row>
    <row r="153" spans="1:4" x14ac:dyDescent="0.2">
      <c r="A153" s="14">
        <v>20</v>
      </c>
      <c r="B153" s="13" t="s">
        <v>29</v>
      </c>
      <c r="C153" s="8">
        <v>0.85899999999999999</v>
      </c>
      <c r="D153" s="17">
        <v>4.2699724517906374E-3</v>
      </c>
    </row>
    <row r="154" spans="1:4" x14ac:dyDescent="0.2">
      <c r="A154" s="14">
        <v>20</v>
      </c>
      <c r="B154" s="13" t="s">
        <v>29</v>
      </c>
      <c r="C154" s="8">
        <v>0.876</v>
      </c>
      <c r="D154" s="17">
        <v>4.5454545454545496E-3</v>
      </c>
    </row>
    <row r="155" spans="1:4" x14ac:dyDescent="0.2">
      <c r="A155" s="14">
        <v>20</v>
      </c>
      <c r="B155" s="13" t="s">
        <v>29</v>
      </c>
      <c r="C155" s="8">
        <v>0.878</v>
      </c>
      <c r="D155" s="17">
        <v>4.6831955922865057E-3</v>
      </c>
    </row>
    <row r="156" spans="1:4" x14ac:dyDescent="0.2">
      <c r="A156" s="14">
        <v>20</v>
      </c>
      <c r="B156" s="13" t="s">
        <v>29</v>
      </c>
      <c r="C156" s="8">
        <v>0.872</v>
      </c>
      <c r="D156" s="17">
        <v>4.4077134986225935E-3</v>
      </c>
    </row>
    <row r="157" spans="1:4" x14ac:dyDescent="0.2">
      <c r="A157" s="14">
        <v>30</v>
      </c>
      <c r="B157" s="13" t="s">
        <v>29</v>
      </c>
      <c r="C157" s="8">
        <v>0.86299999999999999</v>
      </c>
      <c r="D157" s="17">
        <v>5.096418732782374E-3</v>
      </c>
    </row>
    <row r="158" spans="1:4" x14ac:dyDescent="0.2">
      <c r="A158" s="14">
        <v>30</v>
      </c>
      <c r="B158" s="13" t="s">
        <v>29</v>
      </c>
      <c r="C158" s="8">
        <v>0.87</v>
      </c>
      <c r="D158" s="17">
        <v>5.8539944903581321E-3</v>
      </c>
    </row>
    <row r="159" spans="1:4" x14ac:dyDescent="0.2">
      <c r="A159" s="14">
        <v>30</v>
      </c>
      <c r="B159" s="13" t="s">
        <v>29</v>
      </c>
      <c r="C159" s="8">
        <v>0.88800000000000001</v>
      </c>
      <c r="D159" s="17">
        <v>5.7851239669421545E-3</v>
      </c>
    </row>
    <row r="160" spans="1:4" x14ac:dyDescent="0.2">
      <c r="A160" s="14">
        <v>30</v>
      </c>
      <c r="B160" s="13" t="s">
        <v>29</v>
      </c>
      <c r="C160" s="8">
        <v>0.88700000000000001</v>
      </c>
      <c r="D160" s="17">
        <v>6.1983471074380219E-3</v>
      </c>
    </row>
    <row r="161" spans="1:4" x14ac:dyDescent="0.2">
      <c r="A161" s="14">
        <v>30</v>
      </c>
      <c r="B161" s="13" t="s">
        <v>29</v>
      </c>
      <c r="C161" s="8">
        <v>0.88500000000000001</v>
      </c>
      <c r="D161" s="17">
        <v>6.0606060606060658E-3</v>
      </c>
    </row>
    <row r="162" spans="1:4" x14ac:dyDescent="0.2">
      <c r="A162" s="14">
        <v>40</v>
      </c>
      <c r="B162" s="13" t="s">
        <v>29</v>
      </c>
      <c r="C162" s="8">
        <v>0.86799999999999999</v>
      </c>
      <c r="D162" s="17">
        <v>5.7851239669421545E-3</v>
      </c>
    </row>
    <row r="163" spans="1:4" x14ac:dyDescent="0.2">
      <c r="A163" s="14">
        <v>40</v>
      </c>
      <c r="B163" s="13" t="s">
        <v>29</v>
      </c>
      <c r="C163" s="8">
        <v>0.875</v>
      </c>
      <c r="D163" s="17">
        <v>6.6804407713498687E-3</v>
      </c>
    </row>
    <row r="164" spans="1:4" x14ac:dyDescent="0.2">
      <c r="A164" s="14">
        <v>40</v>
      </c>
      <c r="B164" s="13" t="s">
        <v>29</v>
      </c>
      <c r="C164" s="8">
        <v>0.89100000000000001</v>
      </c>
      <c r="D164" s="17">
        <v>6.4049586776859565E-3</v>
      </c>
    </row>
    <row r="165" spans="1:4" x14ac:dyDescent="0.2">
      <c r="A165" s="14">
        <v>40</v>
      </c>
      <c r="B165" s="13" t="s">
        <v>29</v>
      </c>
      <c r="C165" s="8">
        <v>0.89</v>
      </c>
      <c r="D165" s="17">
        <v>6.8870523415978024E-3</v>
      </c>
    </row>
    <row r="166" spans="1:4" x14ac:dyDescent="0.2">
      <c r="A166" s="14">
        <v>40</v>
      </c>
      <c r="B166" s="13" t="s">
        <v>29</v>
      </c>
      <c r="C166" s="8">
        <v>0.89</v>
      </c>
      <c r="D166" s="17">
        <v>7.0936639118457361E-3</v>
      </c>
    </row>
    <row r="167" spans="1:4" x14ac:dyDescent="0.2">
      <c r="A167" s="14">
        <v>50</v>
      </c>
      <c r="B167" s="13" t="s">
        <v>29</v>
      </c>
      <c r="C167" s="8">
        <v>0.873</v>
      </c>
      <c r="D167" s="17">
        <v>6.4049586776859565E-3</v>
      </c>
    </row>
    <row r="168" spans="1:4" x14ac:dyDescent="0.2">
      <c r="A168" s="14">
        <v>50</v>
      </c>
      <c r="B168" s="13" t="s">
        <v>29</v>
      </c>
      <c r="C168" s="8">
        <v>0.878</v>
      </c>
      <c r="D168" s="17">
        <v>7.2314049586776922E-3</v>
      </c>
    </row>
    <row r="169" spans="1:4" x14ac:dyDescent="0.2">
      <c r="A169" s="14">
        <v>50</v>
      </c>
      <c r="B169" s="13" t="s">
        <v>29</v>
      </c>
      <c r="C169" s="8">
        <v>0.89100000000000001</v>
      </c>
      <c r="D169" s="17">
        <v>6.8870523415978024E-3</v>
      </c>
    </row>
    <row r="170" spans="1:4" x14ac:dyDescent="0.2">
      <c r="A170" s="14">
        <v>50</v>
      </c>
      <c r="B170" s="13" t="s">
        <v>29</v>
      </c>
      <c r="C170" s="8">
        <v>0.88800000000000001</v>
      </c>
      <c r="D170" s="17">
        <v>7.4380165289256268E-3</v>
      </c>
    </row>
    <row r="171" spans="1:4" x14ac:dyDescent="0.2">
      <c r="A171" s="14">
        <v>50</v>
      </c>
      <c r="B171" s="13" t="s">
        <v>29</v>
      </c>
      <c r="C171" s="8">
        <v>0.89</v>
      </c>
      <c r="D171" s="17">
        <v>7.3691460055096483E-3</v>
      </c>
    </row>
    <row r="172" spans="1:4" x14ac:dyDescent="0.2">
      <c r="A172" s="14">
        <v>60</v>
      </c>
      <c r="B172" s="13" t="s">
        <v>29</v>
      </c>
      <c r="C172" s="8">
        <v>0.875</v>
      </c>
      <c r="D172" s="17">
        <v>6.8181818181818248E-3</v>
      </c>
    </row>
    <row r="173" spans="1:4" x14ac:dyDescent="0.2">
      <c r="A173" s="14">
        <v>60</v>
      </c>
      <c r="B173" s="13" t="s">
        <v>29</v>
      </c>
      <c r="C173" s="8">
        <v>0.88300000000000001</v>
      </c>
      <c r="D173" s="17">
        <v>7.5068870523416044E-3</v>
      </c>
    </row>
    <row r="174" spans="1:4" x14ac:dyDescent="0.2">
      <c r="A174" s="14">
        <v>60</v>
      </c>
      <c r="B174" s="13" t="s">
        <v>29</v>
      </c>
      <c r="C174" s="8">
        <v>0.89100000000000001</v>
      </c>
      <c r="D174" s="17">
        <v>7.2314049586776922E-3</v>
      </c>
    </row>
    <row r="175" spans="1:4" x14ac:dyDescent="0.2">
      <c r="A175" s="14">
        <v>60</v>
      </c>
      <c r="B175" s="13" t="s">
        <v>29</v>
      </c>
      <c r="C175" s="8">
        <v>0.89100000000000001</v>
      </c>
      <c r="D175" s="17">
        <v>7.713498622589539E-3</v>
      </c>
    </row>
    <row r="176" spans="1:4" x14ac:dyDescent="0.2">
      <c r="A176" s="14">
        <v>60</v>
      </c>
      <c r="B176" s="13" t="s">
        <v>29</v>
      </c>
      <c r="C176" s="8">
        <v>0.89100000000000001</v>
      </c>
      <c r="D176" s="17">
        <v>7.5757575757575829E-3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0DCD-C164-094B-916B-2A2580DEC0D8}">
  <dimension ref="A1:E44"/>
  <sheetViews>
    <sheetView zoomScale="93" workbookViewId="0">
      <selection activeCell="B47" sqref="B47"/>
    </sheetView>
  </sheetViews>
  <sheetFormatPr baseColWidth="10" defaultRowHeight="16" x14ac:dyDescent="0.2"/>
  <cols>
    <col min="2" max="2" width="30.5" customWidth="1"/>
  </cols>
  <sheetData>
    <row r="1" spans="1:5" x14ac:dyDescent="0.2">
      <c r="A1" s="12" t="s">
        <v>22</v>
      </c>
      <c r="B1" s="12" t="s">
        <v>23</v>
      </c>
      <c r="C1" s="12" t="s">
        <v>30</v>
      </c>
      <c r="D1" s="12" t="s">
        <v>31</v>
      </c>
      <c r="E1" s="13"/>
    </row>
    <row r="2" spans="1:5" x14ac:dyDescent="0.2">
      <c r="A2" s="16">
        <v>0</v>
      </c>
      <c r="B2" s="13" t="s">
        <v>24</v>
      </c>
      <c r="C2" s="15">
        <v>0</v>
      </c>
      <c r="D2" s="15">
        <v>0</v>
      </c>
      <c r="E2" s="13"/>
    </row>
    <row r="3" spans="1:5" x14ac:dyDescent="0.2">
      <c r="A3" s="16">
        <v>10</v>
      </c>
      <c r="B3" s="13" t="s">
        <v>24</v>
      </c>
      <c r="C3" s="15">
        <v>0.22512763005056177</v>
      </c>
      <c r="D3" s="15">
        <v>1.196717791206346E-2</v>
      </c>
      <c r="E3" s="13"/>
    </row>
    <row r="4" spans="1:5" x14ac:dyDescent="0.2">
      <c r="A4" s="16">
        <v>20</v>
      </c>
      <c r="B4" s="13" t="s">
        <v>24</v>
      </c>
      <c r="C4" s="15">
        <v>0.28772409304023022</v>
      </c>
      <c r="D4" s="15">
        <v>1.4962121315993638E-2</v>
      </c>
      <c r="E4" s="13"/>
    </row>
    <row r="5" spans="1:5" x14ac:dyDescent="0.2">
      <c r="A5" s="16">
        <v>30</v>
      </c>
      <c r="B5" s="13" t="s">
        <v>24</v>
      </c>
      <c r="C5" s="15">
        <v>0.34208417932073165</v>
      </c>
      <c r="D5" s="15">
        <v>2.0691363720626584E-2</v>
      </c>
      <c r="E5" s="13"/>
    </row>
    <row r="6" spans="1:5" x14ac:dyDescent="0.2">
      <c r="A6" s="16">
        <v>40</v>
      </c>
      <c r="B6" s="13" t="s">
        <v>24</v>
      </c>
      <c r="C6" s="15">
        <v>0.37777514506045468</v>
      </c>
      <c r="D6" s="15">
        <v>1.9664079876344245E-2</v>
      </c>
      <c r="E6" s="13"/>
    </row>
    <row r="7" spans="1:5" x14ac:dyDescent="0.2">
      <c r="A7" s="16">
        <v>50</v>
      </c>
      <c r="B7" s="13" t="s">
        <v>24</v>
      </c>
      <c r="C7" s="15">
        <v>0.41621156970323359</v>
      </c>
      <c r="D7" s="15">
        <v>2.0691363720626719E-2</v>
      </c>
      <c r="E7" s="13"/>
    </row>
    <row r="8" spans="1:5" x14ac:dyDescent="0.2">
      <c r="A8" s="16">
        <v>60</v>
      </c>
      <c r="B8" s="13" t="s">
        <v>24</v>
      </c>
      <c r="C8" s="15">
        <v>0.45025526010112343</v>
      </c>
      <c r="D8" s="15">
        <v>1.3166758353233761E-2</v>
      </c>
      <c r="E8" s="13"/>
    </row>
    <row r="9" spans="1:5" x14ac:dyDescent="0.2">
      <c r="A9" s="16">
        <v>0</v>
      </c>
      <c r="B9" s="13" t="s">
        <v>26</v>
      </c>
      <c r="C9" s="15">
        <v>0</v>
      </c>
      <c r="D9" s="15">
        <v>0</v>
      </c>
      <c r="E9" s="13"/>
    </row>
    <row r="10" spans="1:5" x14ac:dyDescent="0.2">
      <c r="A10" s="16">
        <v>10</v>
      </c>
      <c r="B10" s="13" t="s">
        <v>26</v>
      </c>
      <c r="C10" s="15">
        <v>0.32615714125392004</v>
      </c>
      <c r="D10" s="15">
        <v>4.3564067126834735E-2</v>
      </c>
      <c r="E10" s="13"/>
    </row>
    <row r="11" spans="1:5" x14ac:dyDescent="0.2">
      <c r="A11" s="16">
        <v>20</v>
      </c>
      <c r="B11" s="13" t="s">
        <v>26</v>
      </c>
      <c r="C11" s="15">
        <v>0.4098309628321507</v>
      </c>
      <c r="D11" s="15">
        <v>4.0848478464805826E-2</v>
      </c>
      <c r="E11" s="13"/>
    </row>
    <row r="12" spans="1:5" x14ac:dyDescent="0.2">
      <c r="A12" s="16">
        <v>30</v>
      </c>
      <c r="B12" s="13" t="s">
        <v>26</v>
      </c>
      <c r="C12" s="15">
        <v>0.4730132362687739</v>
      </c>
      <c r="D12" s="15">
        <v>4.2184927079563624E-2</v>
      </c>
      <c r="E12" s="13"/>
    </row>
    <row r="13" spans="1:5" x14ac:dyDescent="0.2">
      <c r="A13" s="16">
        <v>40</v>
      </c>
      <c r="B13" s="13" t="s">
        <v>26</v>
      </c>
      <c r="C13" s="15">
        <v>0.53904155805839815</v>
      </c>
      <c r="D13" s="15">
        <v>6.1160248110311906E-2</v>
      </c>
      <c r="E13" s="13"/>
    </row>
    <row r="14" spans="1:5" x14ac:dyDescent="0.2">
      <c r="A14" s="16">
        <v>50</v>
      </c>
      <c r="B14" s="13" t="s">
        <v>26</v>
      </c>
      <c r="C14" s="15">
        <v>0.57262492862381054</v>
      </c>
      <c r="D14" s="15">
        <v>5.9576976727113963E-2</v>
      </c>
      <c r="E14" s="13"/>
    </row>
    <row r="15" spans="1:5" x14ac:dyDescent="0.2">
      <c r="A15" s="16">
        <v>60</v>
      </c>
      <c r="B15" s="13" t="s">
        <v>26</v>
      </c>
      <c r="C15" s="15">
        <v>0.59880857347142014</v>
      </c>
      <c r="D15" s="15">
        <v>6.0875040918057302E-2</v>
      </c>
      <c r="E15" s="13"/>
    </row>
    <row r="16" spans="1:5" x14ac:dyDescent="0.2">
      <c r="A16" s="16">
        <v>0</v>
      </c>
      <c r="B16" s="13" t="s">
        <v>27</v>
      </c>
      <c r="C16" s="15">
        <v>0</v>
      </c>
      <c r="D16" s="15">
        <v>0</v>
      </c>
      <c r="E16" s="13"/>
    </row>
    <row r="17" spans="1:5" x14ac:dyDescent="0.2">
      <c r="A17" s="16">
        <v>10</v>
      </c>
      <c r="B17" s="13" t="s">
        <v>27</v>
      </c>
      <c r="C17" s="15">
        <v>0.2813653397052705</v>
      </c>
      <c r="D17" s="15">
        <v>3.5678700694988373E-2</v>
      </c>
      <c r="E17" s="13"/>
    </row>
    <row r="18" spans="1:5" x14ac:dyDescent="0.2">
      <c r="A18" s="16">
        <v>20</v>
      </c>
      <c r="B18" s="13" t="s">
        <v>27</v>
      </c>
      <c r="C18" s="15">
        <v>0.35986018889613181</v>
      </c>
      <c r="D18" s="15">
        <v>6.8108835466122911E-2</v>
      </c>
      <c r="E18" s="13"/>
    </row>
    <row r="19" spans="1:5" x14ac:dyDescent="0.2">
      <c r="A19" s="16">
        <v>30</v>
      </c>
      <c r="B19" s="13" t="s">
        <v>27</v>
      </c>
      <c r="C19" s="15">
        <v>0.40850488416934139</v>
      </c>
      <c r="D19" s="15">
        <v>8.2060688997275075E-2</v>
      </c>
      <c r="E19" s="13"/>
    </row>
    <row r="20" spans="1:5" x14ac:dyDescent="0.2">
      <c r="A20" s="16">
        <v>40</v>
      </c>
      <c r="B20" s="13" t="s">
        <v>27</v>
      </c>
      <c r="C20" s="15">
        <v>0.43503835431836491</v>
      </c>
      <c r="D20" s="15">
        <v>9.9890064531937814E-2</v>
      </c>
      <c r="E20" s="13"/>
    </row>
    <row r="21" spans="1:5" x14ac:dyDescent="0.2">
      <c r="A21" s="16">
        <v>50</v>
      </c>
      <c r="B21" s="13" t="s">
        <v>27</v>
      </c>
      <c r="C21" s="15">
        <v>0.46599406949222572</v>
      </c>
      <c r="D21" s="15">
        <v>0.10283017101742946</v>
      </c>
      <c r="E21" s="13"/>
    </row>
    <row r="22" spans="1:5" x14ac:dyDescent="0.2">
      <c r="A22" s="16">
        <v>60</v>
      </c>
      <c r="B22" s="13" t="s">
        <v>27</v>
      </c>
      <c r="C22" s="15">
        <v>0.48534139147588878</v>
      </c>
      <c r="D22" s="15">
        <v>9.7188172848712784E-2</v>
      </c>
      <c r="E22" s="13"/>
    </row>
    <row r="23" spans="1:5" x14ac:dyDescent="0.2">
      <c r="A23" s="16">
        <v>0</v>
      </c>
      <c r="B23" s="13" t="s">
        <v>28</v>
      </c>
      <c r="C23" s="15">
        <v>0</v>
      </c>
      <c r="D23" s="15">
        <v>0</v>
      </c>
      <c r="E23" s="13"/>
    </row>
    <row r="24" spans="1:5" x14ac:dyDescent="0.2">
      <c r="A24" s="16">
        <v>10</v>
      </c>
      <c r="B24" s="13" t="s">
        <v>28</v>
      </c>
      <c r="C24" s="15">
        <v>0.14540151055901293</v>
      </c>
      <c r="D24" s="15">
        <v>1.0017570720565671E-2</v>
      </c>
      <c r="E24" s="13"/>
    </row>
    <row r="25" spans="1:5" x14ac:dyDescent="0.2">
      <c r="A25" s="16">
        <v>20</v>
      </c>
      <c r="B25" s="13" t="s">
        <v>28</v>
      </c>
      <c r="C25" s="15">
        <v>0.18106603201688409</v>
      </c>
      <c r="D25" s="15">
        <v>1.477379429370935E-2</v>
      </c>
      <c r="E25" s="13"/>
    </row>
    <row r="26" spans="1:5" x14ac:dyDescent="0.2">
      <c r="A26" s="16">
        <v>30</v>
      </c>
      <c r="B26" s="13" t="s">
        <v>28</v>
      </c>
      <c r="C26" s="15">
        <v>0.20575685456464099</v>
      </c>
      <c r="D26" s="15">
        <v>1.5639927274686806E-2</v>
      </c>
      <c r="E26" s="13"/>
    </row>
    <row r="27" spans="1:5" x14ac:dyDescent="0.2">
      <c r="A27" s="16">
        <v>40</v>
      </c>
      <c r="B27" s="13" t="s">
        <v>28</v>
      </c>
      <c r="C27" s="15">
        <v>0.20740290940115813</v>
      </c>
      <c r="D27" s="15">
        <v>1.3662144964948031E-2</v>
      </c>
      <c r="E27" s="13"/>
    </row>
    <row r="28" spans="1:5" x14ac:dyDescent="0.2">
      <c r="A28" s="16">
        <v>50</v>
      </c>
      <c r="B28" s="13" t="s">
        <v>28</v>
      </c>
      <c r="C28" s="15">
        <v>0.23373978678543217</v>
      </c>
      <c r="D28" s="15">
        <v>2.3790412323418397E-2</v>
      </c>
      <c r="E28" s="13"/>
    </row>
    <row r="29" spans="1:5" x14ac:dyDescent="0.2">
      <c r="A29" s="16">
        <v>60</v>
      </c>
      <c r="B29" s="13" t="s">
        <v>28</v>
      </c>
      <c r="C29" s="15">
        <v>0.24526217064105207</v>
      </c>
      <c r="D29" s="15">
        <v>2.0676032999174147E-2</v>
      </c>
      <c r="E29" s="13"/>
    </row>
    <row r="30" spans="1:5" x14ac:dyDescent="0.2">
      <c r="A30" s="16">
        <v>0</v>
      </c>
      <c r="B30" s="13" t="s">
        <v>29</v>
      </c>
      <c r="C30" s="15">
        <v>0</v>
      </c>
      <c r="D30" s="15">
        <v>0</v>
      </c>
      <c r="E30" s="13"/>
    </row>
    <row r="31" spans="1:5" x14ac:dyDescent="0.2">
      <c r="A31" s="16">
        <v>10</v>
      </c>
      <c r="B31" s="13" t="s">
        <v>29</v>
      </c>
      <c r="C31" s="15">
        <v>0.11885914687488094</v>
      </c>
      <c r="D31" s="15">
        <v>2.5661978523257134E-2</v>
      </c>
      <c r="E31" s="13"/>
    </row>
    <row r="32" spans="1:5" x14ac:dyDescent="0.2">
      <c r="A32" s="16">
        <v>20</v>
      </c>
      <c r="B32" s="13" t="s">
        <v>29</v>
      </c>
      <c r="C32" s="15">
        <v>0.15665306915306901</v>
      </c>
      <c r="D32" s="15">
        <v>2.5055646216359983E-2</v>
      </c>
      <c r="E32" s="13"/>
    </row>
    <row r="33" spans="1:5" x14ac:dyDescent="0.2">
      <c r="A33" s="16">
        <v>30</v>
      </c>
      <c r="B33" s="13" t="s">
        <v>29</v>
      </c>
      <c r="C33" s="15">
        <v>0.18458770735868626</v>
      </c>
      <c r="D33" s="15">
        <v>2.9022362169157663E-2</v>
      </c>
      <c r="E33" s="13"/>
    </row>
    <row r="34" spans="1:5" x14ac:dyDescent="0.2">
      <c r="A34" s="16">
        <v>40</v>
      </c>
      <c r="B34" s="13" t="s">
        <v>29</v>
      </c>
      <c r="C34" s="15">
        <v>0.19609020544335218</v>
      </c>
      <c r="D34" s="15">
        <v>2.6875467204376127E-2</v>
      </c>
      <c r="E34" s="13"/>
    </row>
    <row r="35" spans="1:5" x14ac:dyDescent="0.2">
      <c r="A35" s="16">
        <v>50</v>
      </c>
      <c r="B35" s="13" t="s">
        <v>29</v>
      </c>
      <c r="C35" s="15">
        <v>0.19937663346754245</v>
      </c>
      <c r="D35" s="15">
        <v>1.9975547677364314E-2</v>
      </c>
      <c r="E35" s="13"/>
    </row>
    <row r="36" spans="1:5" x14ac:dyDescent="0.2">
      <c r="A36" s="16">
        <v>60</v>
      </c>
      <c r="B36" s="13" t="s">
        <v>29</v>
      </c>
      <c r="C36" s="15">
        <v>0.20540175151189125</v>
      </c>
      <c r="D36" s="15">
        <v>1.6993124683849885E-2</v>
      </c>
      <c r="E36" s="13"/>
    </row>
    <row r="37" spans="1:5" x14ac:dyDescent="0.2">
      <c r="A37" s="13"/>
      <c r="B37" s="13"/>
      <c r="C37" s="13"/>
      <c r="D37" s="13"/>
      <c r="E37" s="13"/>
    </row>
    <row r="38" spans="1:5" x14ac:dyDescent="0.2">
      <c r="A38" s="13"/>
      <c r="B38" s="13"/>
      <c r="C38" s="13"/>
      <c r="D38" s="13"/>
      <c r="E38" s="13"/>
    </row>
    <row r="39" spans="1:5" x14ac:dyDescent="0.2">
      <c r="A39" s="13"/>
      <c r="B39" s="13"/>
      <c r="C39" s="13"/>
      <c r="D39" s="13"/>
      <c r="E39" s="13"/>
    </row>
    <row r="40" spans="1:5" x14ac:dyDescent="0.2">
      <c r="A40" s="13"/>
      <c r="B40" s="13"/>
      <c r="C40" s="13"/>
      <c r="D40" s="13"/>
      <c r="E40" s="13"/>
    </row>
    <row r="41" spans="1:5" x14ac:dyDescent="0.2">
      <c r="A41" s="13"/>
      <c r="B41" s="13"/>
      <c r="C41" s="13"/>
      <c r="D41" s="13"/>
      <c r="E41" s="13"/>
    </row>
    <row r="42" spans="1:5" x14ac:dyDescent="0.2">
      <c r="A42" s="13"/>
      <c r="B42" s="13"/>
      <c r="C42" s="13"/>
      <c r="D42" s="13"/>
      <c r="E42" s="13"/>
    </row>
    <row r="43" spans="1:5" x14ac:dyDescent="0.2">
      <c r="A43" s="13"/>
      <c r="B43" s="13"/>
      <c r="C43" s="13"/>
      <c r="D43" s="13"/>
      <c r="E43" s="13"/>
    </row>
    <row r="44" spans="1:5" x14ac:dyDescent="0.2">
      <c r="A44" s="13"/>
      <c r="B44" s="13"/>
      <c r="C44" s="13"/>
      <c r="D44" s="13"/>
      <c r="E4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Metsä OBA</vt:lpstr>
      <vt:lpstr>Formatting for R</vt:lpstr>
      <vt:lpstr>Figures for 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Mackenzie Jane Lanning</cp:lastModifiedBy>
  <cp:revision/>
  <dcterms:created xsi:type="dcterms:W3CDTF">2023-08-22T15:09:08Z</dcterms:created>
  <dcterms:modified xsi:type="dcterms:W3CDTF">2026-04-25T21:56:30Z</dcterms:modified>
  <cp:category/>
  <cp:contentStatus/>
</cp:coreProperties>
</file>