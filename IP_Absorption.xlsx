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graphene-oxide-paper-coatings/"/>
    </mc:Choice>
  </mc:AlternateContent>
  <xr:revisionPtr revIDLastSave="277" documentId="8_{D2BF99F2-6939-1445-9333-69AF606EB5C9}" xr6:coauthVersionLast="47" xr6:coauthVersionMax="47" xr10:uidLastSave="{CBE1EDA3-0506-C34B-9FD5-F9BFC4B63900}"/>
  <bookViews>
    <workbookView xWindow="0" yWindow="740" windowWidth="15620" windowHeight="17180" activeTab="2" xr2:uid="{E0E81384-8338-6A40-B1D6-6AC1A920927D}"/>
  </bookViews>
  <sheets>
    <sheet name="Sheet1" sheetId="1" r:id="rId1"/>
    <sheet name="Boat" sheetId="2" r:id="rId2"/>
    <sheet name="Formatting for R" sheetId="3" r:id="rId3"/>
    <sheet name="Figures for 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2" l="1"/>
  <c r="D64" i="2"/>
  <c r="D65" i="2"/>
  <c r="H148" i="2"/>
  <c r="H147" i="2"/>
  <c r="H146" i="2"/>
  <c r="H145" i="2"/>
  <c r="H144" i="2"/>
  <c r="H143" i="2"/>
  <c r="H142" i="2"/>
  <c r="G148" i="2"/>
  <c r="G147" i="2"/>
  <c r="G146" i="2"/>
  <c r="G145" i="2"/>
  <c r="G144" i="2"/>
  <c r="G143" i="2"/>
  <c r="G142" i="2"/>
  <c r="H136" i="2"/>
  <c r="H135" i="2"/>
  <c r="H134" i="2"/>
  <c r="H133" i="2"/>
  <c r="H132" i="2"/>
  <c r="H131" i="2"/>
  <c r="H130" i="2"/>
  <c r="G136" i="2"/>
  <c r="G135" i="2"/>
  <c r="G134" i="2"/>
  <c r="G133" i="2"/>
  <c r="G132" i="2"/>
  <c r="G131" i="2"/>
  <c r="G130" i="2"/>
  <c r="H124" i="2"/>
  <c r="H123" i="2"/>
  <c r="H122" i="2"/>
  <c r="H121" i="2"/>
  <c r="H120" i="2"/>
  <c r="H119" i="2"/>
  <c r="H118" i="2"/>
  <c r="G124" i="2"/>
  <c r="G123" i="2"/>
  <c r="G122" i="2"/>
  <c r="G121" i="2"/>
  <c r="G120" i="2"/>
  <c r="G119" i="2"/>
  <c r="G118" i="2"/>
  <c r="H112" i="2"/>
  <c r="H111" i="2"/>
  <c r="H110" i="2"/>
  <c r="H109" i="2"/>
  <c r="H108" i="2"/>
  <c r="H107" i="2"/>
  <c r="H106" i="2"/>
  <c r="G112" i="2"/>
  <c r="G111" i="2"/>
  <c r="G110" i="2"/>
  <c r="G109" i="2"/>
  <c r="G108" i="2"/>
  <c r="G107" i="2"/>
  <c r="G106" i="2"/>
  <c r="H95" i="2"/>
  <c r="H94" i="2"/>
  <c r="H93" i="2"/>
  <c r="H92" i="2"/>
  <c r="H91" i="2"/>
  <c r="H89" i="2"/>
  <c r="H88" i="2"/>
  <c r="H87" i="2"/>
  <c r="H86" i="2"/>
  <c r="H85" i="2"/>
  <c r="H83" i="2"/>
  <c r="H82" i="2"/>
  <c r="H81" i="2"/>
  <c r="H80" i="2"/>
  <c r="H79" i="2"/>
  <c r="H77" i="2"/>
  <c r="H76" i="2"/>
  <c r="H75" i="2"/>
  <c r="H74" i="2"/>
  <c r="H73" i="2"/>
  <c r="H71" i="2"/>
  <c r="H70" i="2"/>
  <c r="H69" i="2"/>
  <c r="H68" i="2"/>
  <c r="H67" i="2"/>
  <c r="H65" i="2"/>
  <c r="H64" i="2"/>
  <c r="H63" i="2"/>
  <c r="H62" i="2"/>
  <c r="H61" i="2"/>
  <c r="H59" i="2"/>
  <c r="H58" i="2"/>
  <c r="H57" i="2"/>
  <c r="H56" i="2"/>
  <c r="H55" i="2"/>
  <c r="G95" i="2"/>
  <c r="G94" i="2"/>
  <c r="G93" i="2"/>
  <c r="G92" i="2"/>
  <c r="G91" i="2"/>
  <c r="G89" i="2"/>
  <c r="G88" i="2"/>
  <c r="G87" i="2"/>
  <c r="G86" i="2"/>
  <c r="G85" i="2"/>
  <c r="G83" i="2"/>
  <c r="G82" i="2"/>
  <c r="G81" i="2"/>
  <c r="G80" i="2"/>
  <c r="G79" i="2"/>
  <c r="G77" i="2"/>
  <c r="G76" i="2"/>
  <c r="G75" i="2"/>
  <c r="G74" i="2"/>
  <c r="G73" i="2"/>
  <c r="G71" i="2"/>
  <c r="G70" i="2"/>
  <c r="G69" i="2"/>
  <c r="G68" i="2"/>
  <c r="G67" i="2"/>
  <c r="G65" i="2"/>
  <c r="G64" i="2"/>
  <c r="G63" i="2"/>
  <c r="G62" i="2"/>
  <c r="G61" i="2"/>
  <c r="G59" i="2"/>
  <c r="G58" i="2"/>
  <c r="G57" i="2"/>
  <c r="G56" i="2"/>
  <c r="G55" i="2"/>
  <c r="F95" i="2"/>
  <c r="E95" i="2"/>
  <c r="D95" i="2"/>
  <c r="C95" i="2"/>
  <c r="F94" i="2"/>
  <c r="E94" i="2"/>
  <c r="D94" i="2"/>
  <c r="C94" i="2"/>
  <c r="F93" i="2"/>
  <c r="E93" i="2"/>
  <c r="D93" i="2"/>
  <c r="C93" i="2"/>
  <c r="F92" i="2"/>
  <c r="E92" i="2"/>
  <c r="D92" i="2"/>
  <c r="C92" i="2"/>
  <c r="F91" i="2"/>
  <c r="E91" i="2"/>
  <c r="D91" i="2"/>
  <c r="C91" i="2"/>
  <c r="F89" i="2"/>
  <c r="E89" i="2"/>
  <c r="D89" i="2"/>
  <c r="C89" i="2"/>
  <c r="F88" i="2"/>
  <c r="E88" i="2"/>
  <c r="D88" i="2"/>
  <c r="C88" i="2"/>
  <c r="F87" i="2"/>
  <c r="E87" i="2"/>
  <c r="D87" i="2"/>
  <c r="C87" i="2"/>
  <c r="F86" i="2"/>
  <c r="E86" i="2"/>
  <c r="D86" i="2"/>
  <c r="C86" i="2"/>
  <c r="F85" i="2"/>
  <c r="E85" i="2"/>
  <c r="D85" i="2"/>
  <c r="D135" i="2" s="1"/>
  <c r="C85" i="2"/>
  <c r="C135" i="2" s="1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7" i="2"/>
  <c r="E77" i="2"/>
  <c r="D77" i="2"/>
  <c r="C77" i="2"/>
  <c r="F76" i="2"/>
  <c r="E76" i="2"/>
  <c r="D76" i="2"/>
  <c r="C76" i="2"/>
  <c r="F75" i="2"/>
  <c r="E75" i="2"/>
  <c r="D75" i="2"/>
  <c r="C75" i="2"/>
  <c r="F74" i="2"/>
  <c r="E74" i="2"/>
  <c r="D74" i="2"/>
  <c r="C74" i="2"/>
  <c r="F73" i="2"/>
  <c r="E73" i="2"/>
  <c r="D73" i="2"/>
  <c r="D133" i="2" s="1"/>
  <c r="C73" i="2"/>
  <c r="C133" i="2" s="1"/>
  <c r="F71" i="2"/>
  <c r="E71" i="2"/>
  <c r="D71" i="2"/>
  <c r="C71" i="2"/>
  <c r="F70" i="2"/>
  <c r="E70" i="2"/>
  <c r="D70" i="2"/>
  <c r="C70" i="2"/>
  <c r="F69" i="2"/>
  <c r="E69" i="2"/>
  <c r="D69" i="2"/>
  <c r="C69" i="2"/>
  <c r="F68" i="2"/>
  <c r="F132" i="2" s="1"/>
  <c r="E68" i="2"/>
  <c r="D68" i="2"/>
  <c r="C68" i="2"/>
  <c r="F67" i="2"/>
  <c r="E67" i="2"/>
  <c r="D67" i="2"/>
  <c r="C67" i="2"/>
  <c r="F65" i="2"/>
  <c r="E65" i="2"/>
  <c r="C65" i="2"/>
  <c r="F64" i="2"/>
  <c r="E64" i="2"/>
  <c r="C64" i="2"/>
  <c r="F63" i="2"/>
  <c r="E63" i="2"/>
  <c r="C63" i="2"/>
  <c r="F62" i="2"/>
  <c r="E62" i="2"/>
  <c r="D62" i="2"/>
  <c r="C62" i="2"/>
  <c r="F61" i="2"/>
  <c r="E61" i="2"/>
  <c r="D61" i="2"/>
  <c r="D131" i="2" s="1"/>
  <c r="C61" i="2"/>
  <c r="C131" i="2" s="1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134" i="2" l="1"/>
  <c r="E132" i="2"/>
  <c r="E133" i="2"/>
  <c r="E130" i="2"/>
  <c r="E131" i="2"/>
  <c r="E134" i="2"/>
  <c r="F130" i="2"/>
  <c r="E136" i="2"/>
  <c r="C148" i="2"/>
  <c r="C142" i="2"/>
  <c r="C144" i="2"/>
  <c r="C146" i="2"/>
  <c r="D142" i="2"/>
  <c r="D144" i="2"/>
  <c r="D146" i="2"/>
  <c r="D148" i="2"/>
  <c r="F135" i="2"/>
  <c r="E144" i="2"/>
  <c r="E146" i="2"/>
  <c r="E148" i="2"/>
  <c r="E135" i="2"/>
  <c r="F142" i="2"/>
  <c r="F144" i="2"/>
  <c r="F146" i="2"/>
  <c r="F148" i="2"/>
  <c r="F133" i="2"/>
  <c r="F131" i="2"/>
  <c r="F136" i="2"/>
  <c r="E142" i="2"/>
  <c r="C106" i="2"/>
  <c r="C108" i="2"/>
  <c r="C110" i="2"/>
  <c r="C112" i="2"/>
  <c r="C119" i="2"/>
  <c r="C121" i="2"/>
  <c r="C123" i="2"/>
  <c r="C130" i="2"/>
  <c r="C132" i="2"/>
  <c r="C134" i="2"/>
  <c r="C136" i="2"/>
  <c r="C143" i="2"/>
  <c r="C145" i="2"/>
  <c r="C147" i="2"/>
  <c r="D106" i="2"/>
  <c r="D108" i="2"/>
  <c r="D110" i="2"/>
  <c r="D112" i="2"/>
  <c r="D119" i="2"/>
  <c r="D121" i="2"/>
  <c r="D123" i="2"/>
  <c r="D130" i="2"/>
  <c r="D132" i="2"/>
  <c r="D134" i="2"/>
  <c r="D136" i="2"/>
  <c r="D143" i="2"/>
  <c r="D145" i="2"/>
  <c r="D147" i="2"/>
  <c r="E106" i="2"/>
  <c r="E108" i="2"/>
  <c r="E110" i="2"/>
  <c r="E112" i="2"/>
  <c r="E119" i="2"/>
  <c r="E121" i="2"/>
  <c r="E123" i="2"/>
  <c r="E143" i="2"/>
  <c r="E145" i="2"/>
  <c r="E147" i="2"/>
  <c r="F106" i="2"/>
  <c r="F108" i="2"/>
  <c r="F110" i="2"/>
  <c r="F112" i="2"/>
  <c r="F119" i="2"/>
  <c r="F121" i="2"/>
  <c r="F123" i="2"/>
  <c r="F143" i="2"/>
  <c r="F145" i="2"/>
  <c r="F147" i="2"/>
  <c r="C107" i="2"/>
  <c r="C109" i="2"/>
  <c r="C111" i="2"/>
  <c r="C118" i="2"/>
  <c r="C120" i="2"/>
  <c r="C122" i="2"/>
  <c r="C124" i="2"/>
  <c r="D107" i="2"/>
  <c r="D109" i="2"/>
  <c r="D111" i="2"/>
  <c r="D118" i="2"/>
  <c r="D120" i="2"/>
  <c r="D122" i="2"/>
  <c r="D124" i="2"/>
  <c r="E107" i="2"/>
  <c r="E109" i="2"/>
  <c r="E111" i="2"/>
  <c r="E118" i="2"/>
  <c r="E120" i="2"/>
  <c r="E122" i="2"/>
  <c r="E124" i="2"/>
  <c r="F107" i="2"/>
  <c r="F109" i="2"/>
  <c r="F111" i="2"/>
  <c r="F118" i="2"/>
  <c r="F120" i="2"/>
  <c r="F122" i="2"/>
  <c r="F124" i="2"/>
  <c r="J130" i="1" l="1"/>
  <c r="J129" i="1"/>
  <c r="J128" i="1"/>
  <c r="J127" i="1"/>
  <c r="J126" i="1"/>
  <c r="J125" i="1"/>
  <c r="J124" i="1"/>
  <c r="I130" i="1"/>
  <c r="I129" i="1"/>
  <c r="I128" i="1"/>
  <c r="I127" i="1"/>
  <c r="I126" i="1"/>
  <c r="I125" i="1"/>
  <c r="I124" i="1"/>
  <c r="J120" i="1"/>
  <c r="J119" i="1"/>
  <c r="J118" i="1"/>
  <c r="J117" i="1"/>
  <c r="J116" i="1"/>
  <c r="J115" i="1"/>
  <c r="J114" i="1"/>
  <c r="I120" i="1"/>
  <c r="I119" i="1"/>
  <c r="I118" i="1"/>
  <c r="I117" i="1"/>
  <c r="I116" i="1"/>
  <c r="I115" i="1"/>
  <c r="I114" i="1"/>
  <c r="J109" i="1"/>
  <c r="J108" i="1"/>
  <c r="J107" i="1"/>
  <c r="J106" i="1"/>
  <c r="J105" i="1"/>
  <c r="J104" i="1"/>
  <c r="J103" i="1"/>
  <c r="I109" i="1"/>
  <c r="I108" i="1"/>
  <c r="I107" i="1"/>
  <c r="I106" i="1"/>
  <c r="I105" i="1"/>
  <c r="I104" i="1"/>
  <c r="I103" i="1"/>
  <c r="J98" i="1"/>
  <c r="J97" i="1"/>
  <c r="J96" i="1"/>
  <c r="J95" i="1"/>
  <c r="J94" i="1"/>
  <c r="J93" i="1"/>
  <c r="J92" i="1"/>
  <c r="I98" i="1"/>
  <c r="I97" i="1"/>
  <c r="I96" i="1"/>
  <c r="I95" i="1"/>
  <c r="I94" i="1"/>
  <c r="I93" i="1"/>
  <c r="I92" i="1"/>
  <c r="J87" i="1"/>
  <c r="J86" i="1"/>
  <c r="J85" i="1"/>
  <c r="J84" i="1"/>
  <c r="J83" i="1"/>
  <c r="J81" i="1"/>
  <c r="J80" i="1"/>
  <c r="J79" i="1"/>
  <c r="J78" i="1"/>
  <c r="J77" i="1"/>
  <c r="J75" i="1"/>
  <c r="J74" i="1"/>
  <c r="J73" i="1"/>
  <c r="J72" i="1"/>
  <c r="J71" i="1"/>
  <c r="J69" i="1"/>
  <c r="J68" i="1"/>
  <c r="J67" i="1"/>
  <c r="J66" i="1"/>
  <c r="J65" i="1"/>
  <c r="J63" i="1"/>
  <c r="J62" i="1"/>
  <c r="J61" i="1"/>
  <c r="J60" i="1"/>
  <c r="J59" i="1"/>
  <c r="J57" i="1"/>
  <c r="J56" i="1"/>
  <c r="J55" i="1"/>
  <c r="J54" i="1"/>
  <c r="J53" i="1"/>
  <c r="J51" i="1"/>
  <c r="J50" i="1"/>
  <c r="J49" i="1"/>
  <c r="J48" i="1"/>
  <c r="J47" i="1"/>
  <c r="I87" i="1"/>
  <c r="I86" i="1"/>
  <c r="I85" i="1"/>
  <c r="I84" i="1"/>
  <c r="I83" i="1"/>
  <c r="I81" i="1"/>
  <c r="I80" i="1"/>
  <c r="I79" i="1"/>
  <c r="I78" i="1"/>
  <c r="I77" i="1"/>
  <c r="I75" i="1"/>
  <c r="I74" i="1"/>
  <c r="I73" i="1"/>
  <c r="I72" i="1"/>
  <c r="I71" i="1"/>
  <c r="I69" i="1"/>
  <c r="I68" i="1"/>
  <c r="I67" i="1"/>
  <c r="I66" i="1"/>
  <c r="I65" i="1"/>
  <c r="I63" i="1"/>
  <c r="I62" i="1"/>
  <c r="I61" i="1"/>
  <c r="I60" i="1"/>
  <c r="I59" i="1"/>
  <c r="I57" i="1"/>
  <c r="I56" i="1"/>
  <c r="I55" i="1"/>
  <c r="I54" i="1"/>
  <c r="I53" i="1"/>
  <c r="I51" i="1"/>
  <c r="I50" i="1"/>
  <c r="I49" i="1"/>
  <c r="I48" i="1"/>
  <c r="I47" i="1"/>
  <c r="H130" i="1"/>
  <c r="H129" i="1"/>
  <c r="H128" i="1"/>
  <c r="H127" i="1"/>
  <c r="H126" i="1"/>
  <c r="H125" i="1"/>
  <c r="H124" i="1"/>
  <c r="G130" i="1"/>
  <c r="G129" i="1"/>
  <c r="G128" i="1"/>
  <c r="G127" i="1"/>
  <c r="G126" i="1"/>
  <c r="G125" i="1"/>
  <c r="G124" i="1"/>
  <c r="H120" i="1"/>
  <c r="H119" i="1"/>
  <c r="H118" i="1"/>
  <c r="H117" i="1"/>
  <c r="H116" i="1"/>
  <c r="H115" i="1"/>
  <c r="H114" i="1"/>
  <c r="G120" i="1"/>
  <c r="G119" i="1"/>
  <c r="G118" i="1"/>
  <c r="G117" i="1"/>
  <c r="G116" i="1"/>
  <c r="G115" i="1"/>
  <c r="G114" i="1"/>
  <c r="H109" i="1"/>
  <c r="H108" i="1"/>
  <c r="H107" i="1"/>
  <c r="H106" i="1"/>
  <c r="H105" i="1"/>
  <c r="H104" i="1"/>
  <c r="H103" i="1"/>
  <c r="G109" i="1"/>
  <c r="G108" i="1"/>
  <c r="G107" i="1"/>
  <c r="G106" i="1"/>
  <c r="G105" i="1"/>
  <c r="G104" i="1"/>
  <c r="G103" i="1"/>
  <c r="H98" i="1"/>
  <c r="H97" i="1"/>
  <c r="H96" i="1"/>
  <c r="H95" i="1"/>
  <c r="H94" i="1"/>
  <c r="H93" i="1"/>
  <c r="H92" i="1"/>
  <c r="G98" i="1"/>
  <c r="G97" i="1"/>
  <c r="G96" i="1"/>
  <c r="G95" i="1"/>
  <c r="G94" i="1"/>
  <c r="G93" i="1"/>
  <c r="G92" i="1"/>
  <c r="H87" i="1"/>
  <c r="H86" i="1"/>
  <c r="H85" i="1"/>
  <c r="H84" i="1"/>
  <c r="H83" i="1"/>
  <c r="H81" i="1"/>
  <c r="H80" i="1"/>
  <c r="H79" i="1"/>
  <c r="H78" i="1"/>
  <c r="H77" i="1"/>
  <c r="H75" i="1"/>
  <c r="H74" i="1"/>
  <c r="H73" i="1"/>
  <c r="H72" i="1"/>
  <c r="H71" i="1"/>
  <c r="H69" i="1"/>
  <c r="H68" i="1"/>
  <c r="H67" i="1"/>
  <c r="H66" i="1"/>
  <c r="H65" i="1"/>
  <c r="H63" i="1"/>
  <c r="H62" i="1"/>
  <c r="H61" i="1"/>
  <c r="H60" i="1"/>
  <c r="H59" i="1"/>
  <c r="H57" i="1"/>
  <c r="H56" i="1"/>
  <c r="H55" i="1"/>
  <c r="H54" i="1"/>
  <c r="H53" i="1"/>
  <c r="H51" i="1"/>
  <c r="H50" i="1"/>
  <c r="H49" i="1"/>
  <c r="H48" i="1"/>
  <c r="H47" i="1"/>
  <c r="G87" i="1"/>
  <c r="G86" i="1"/>
  <c r="G85" i="1"/>
  <c r="G84" i="1"/>
  <c r="G83" i="1"/>
  <c r="G81" i="1"/>
  <c r="G80" i="1"/>
  <c r="G79" i="1"/>
  <c r="G78" i="1"/>
  <c r="G77" i="1"/>
  <c r="G75" i="1"/>
  <c r="G74" i="1"/>
  <c r="G73" i="1"/>
  <c r="G72" i="1"/>
  <c r="G71" i="1"/>
  <c r="G69" i="1"/>
  <c r="G68" i="1"/>
  <c r="G67" i="1"/>
  <c r="G66" i="1"/>
  <c r="G65" i="1"/>
  <c r="G63" i="1"/>
  <c r="G62" i="1"/>
  <c r="G61" i="1"/>
  <c r="G60" i="1"/>
  <c r="G59" i="1"/>
  <c r="G57" i="1"/>
  <c r="G56" i="1"/>
  <c r="G55" i="1"/>
  <c r="G54" i="1"/>
  <c r="G53" i="1"/>
  <c r="G51" i="1"/>
  <c r="G50" i="1"/>
  <c r="G49" i="1"/>
  <c r="G48" i="1"/>
  <c r="G47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C94" i="1" l="1"/>
  <c r="D117" i="1"/>
  <c r="E96" i="1"/>
  <c r="D96" i="1"/>
  <c r="C97" i="1"/>
  <c r="D109" i="1"/>
  <c r="E119" i="1"/>
  <c r="C104" i="1"/>
  <c r="D105" i="1"/>
  <c r="E127" i="1"/>
  <c r="D108" i="1"/>
  <c r="E95" i="1"/>
  <c r="E103" i="1"/>
  <c r="C117" i="1"/>
  <c r="E108" i="1"/>
  <c r="E104" i="1"/>
  <c r="D116" i="1"/>
  <c r="C98" i="1"/>
  <c r="C129" i="1"/>
  <c r="E115" i="1"/>
  <c r="C105" i="1"/>
  <c r="C118" i="1"/>
  <c r="E107" i="1"/>
  <c r="D119" i="1"/>
  <c r="E98" i="1"/>
  <c r="C92" i="1"/>
  <c r="D93" i="1"/>
  <c r="E116" i="1"/>
  <c r="D118" i="1"/>
  <c r="C109" i="1"/>
  <c r="D92" i="1"/>
  <c r="C116" i="1"/>
  <c r="E92" i="1"/>
  <c r="C93" i="1"/>
  <c r="D97" i="1"/>
  <c r="D98" i="1"/>
  <c r="E114" i="1"/>
  <c r="C106" i="1"/>
  <c r="D128" i="1"/>
  <c r="E97" i="1"/>
  <c r="E130" i="1"/>
  <c r="E93" i="1"/>
  <c r="D94" i="1"/>
  <c r="C95" i="1"/>
  <c r="E105" i="1"/>
  <c r="D106" i="1"/>
  <c r="C107" i="1"/>
  <c r="E117" i="1"/>
  <c r="C119" i="1"/>
  <c r="E128" i="1"/>
  <c r="D129" i="1"/>
  <c r="C130" i="1"/>
  <c r="E94" i="1"/>
  <c r="D95" i="1"/>
  <c r="C96" i="1"/>
  <c r="E106" i="1"/>
  <c r="D107" i="1"/>
  <c r="C108" i="1"/>
  <c r="E118" i="1"/>
  <c r="C120" i="1"/>
  <c r="E129" i="1"/>
  <c r="D130" i="1"/>
  <c r="D120" i="1"/>
  <c r="C114" i="1"/>
  <c r="E120" i="1"/>
  <c r="D124" i="1"/>
  <c r="C125" i="1"/>
  <c r="C103" i="1"/>
  <c r="E109" i="1"/>
  <c r="D114" i="1"/>
  <c r="C115" i="1"/>
  <c r="E124" i="1"/>
  <c r="D125" i="1"/>
  <c r="C126" i="1"/>
  <c r="C124" i="1"/>
  <c r="D103" i="1"/>
  <c r="D115" i="1"/>
  <c r="E125" i="1"/>
  <c r="D126" i="1"/>
  <c r="C127" i="1"/>
  <c r="D104" i="1"/>
  <c r="E126" i="1"/>
  <c r="D127" i="1"/>
  <c r="C128" i="1"/>
</calcChain>
</file>

<file path=xl/sharedStrings.xml><?xml version="1.0" encoding="utf-8"?>
<sst xmlns="http://schemas.openxmlformats.org/spreadsheetml/2006/main" count="367" uniqueCount="33">
  <si>
    <t>Sample</t>
  </si>
  <si>
    <t>time (min)</t>
  </si>
  <si>
    <t>Stock @ Room Temp</t>
  </si>
  <si>
    <t>DI Water @ 100°C</t>
  </si>
  <si>
    <t xml:space="preserve">0.1% GO @ 100°C </t>
  </si>
  <si>
    <t>25% WBBC @ 100°C</t>
  </si>
  <si>
    <t>1% WBBC @ 100°C</t>
  </si>
  <si>
    <t>1% WBBC + 0.1% GO @ 100°C</t>
  </si>
  <si>
    <t>0.2% GO @ 100°C</t>
  </si>
  <si>
    <t>0.5% GO @ 100°C</t>
  </si>
  <si>
    <t>Absorbed weights per unit area (gm/cm^2)</t>
  </si>
  <si>
    <t>MEAN VALUES - Absorbed weights per unit area (gm/cm^2)</t>
  </si>
  <si>
    <t>RMS - Absorbed weights per unit area (gm/cm^2)</t>
  </si>
  <si>
    <t>MEAN VALUES - Absorbed weights per dry paper weigth (gm/gm)</t>
  </si>
  <si>
    <t>RMS - Absorbed weights per unit area (gm/gm)</t>
  </si>
  <si>
    <t>HelloFresh</t>
  </si>
  <si>
    <t>Raw Weights (gms)</t>
  </si>
  <si>
    <t xml:space="preserve">0.2% GO @ 100°C </t>
  </si>
  <si>
    <t xml:space="preserve">0.5% GO @ 100°C </t>
  </si>
  <si>
    <t>MEAN VALUES - Absorbed weights per unit area (gm/m^2)</t>
  </si>
  <si>
    <t>RMS - Absorbed weights per unit area (gm/m^2)</t>
  </si>
  <si>
    <t>MEAN VALUES - Absorbed weights per dry paper weight (gm/gm)</t>
  </si>
  <si>
    <t>Time</t>
  </si>
  <si>
    <t>Coating</t>
  </si>
  <si>
    <t>Raw Weight</t>
  </si>
  <si>
    <t>Stock</t>
  </si>
  <si>
    <t>DI Water</t>
  </si>
  <si>
    <t>0.1% GO</t>
  </si>
  <si>
    <t>0.2% GO</t>
  </si>
  <si>
    <t>0.5% GO</t>
  </si>
  <si>
    <t>25% WBBC</t>
  </si>
  <si>
    <t>Absorption</t>
  </si>
  <si>
    <t>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</si>
</sst>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0000"/>
  </numFmts>
  <fonts count="6" x14ac:knownFonts="1">
    <font>
      <sz val="12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/>
    <xf numFmtId="1" fontId="4" fillId="0" borderId="0" xfId="0" applyNumberFormat="1" applyFont="1"/>
    <xf numFmtId="165" fontId="2" fillId="0" borderId="0" xfId="0" applyNumberFormat="1" applyFont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Sheet1!$G$123</c:f>
              <c:strCache>
                <c:ptCount val="1"/>
                <c:pt idx="0">
                  <c:v>1%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Sheet1!$G$124:$G$130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1.3784576097379497E-2</c:v>
                  </c:pt>
                  <c:pt idx="2">
                    <c:v>1.8797214361229605E-2</c:v>
                  </c:pt>
                  <c:pt idx="3">
                    <c:v>4.3605065065832782E-2</c:v>
                  </c:pt>
                  <c:pt idx="4">
                    <c:v>5.1552585116256391E-2</c:v>
                  </c:pt>
                  <c:pt idx="5">
                    <c:v>6.179450661071112E-2</c:v>
                  </c:pt>
                  <c:pt idx="6">
                    <c:v>7.4050132217848272E-2</c:v>
                  </c:pt>
                </c:numCache>
              </c:numRef>
            </c:plus>
            <c:minus>
              <c:numRef>
                <c:f>Sheet1!$G$124:$G$130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1.3784576097379497E-2</c:v>
                  </c:pt>
                  <c:pt idx="2">
                    <c:v>1.8797214361229605E-2</c:v>
                  </c:pt>
                  <c:pt idx="3">
                    <c:v>4.3605065065832782E-2</c:v>
                  </c:pt>
                  <c:pt idx="4">
                    <c:v>5.1552585116256391E-2</c:v>
                  </c:pt>
                  <c:pt idx="5">
                    <c:v>6.179450661071112E-2</c:v>
                  </c:pt>
                  <c:pt idx="6">
                    <c:v>7.4050132217848272E-2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Sheet1!$G$114:$G$120</c:f>
              <c:numCache>
                <c:formatCode>0.0000</c:formatCode>
                <c:ptCount val="7"/>
                <c:pt idx="0">
                  <c:v>0</c:v>
                </c:pt>
                <c:pt idx="1">
                  <c:v>0.16155355403324659</c:v>
                </c:pt>
                <c:pt idx="2">
                  <c:v>0.21804450266578695</c:v>
                </c:pt>
                <c:pt idx="3">
                  <c:v>0.27559135688024394</c:v>
                </c:pt>
                <c:pt idx="4">
                  <c:v>0.30938033550157645</c:v>
                </c:pt>
                <c:pt idx="5">
                  <c:v>0.35742403947878382</c:v>
                </c:pt>
                <c:pt idx="6">
                  <c:v>0.40810750741078267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63-6B4E-B015-0DF25C96D300}"/>
            </c:ext>
          </c:extLst>
        </c:ser>
        <c:ser>
          <c:idx val="0"/>
          <c:order val="1"/>
          <c:tx>
            <c:strRef>
              <c:f>Sheet1!$H$123</c:f>
              <c:strCache>
                <c:ptCount val="1"/>
                <c:pt idx="0">
                  <c:v>1% WBBC + 0.1% GO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Sheet1!$H$124:$H$130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2.45728427637836E-2</c:v>
                  </c:pt>
                  <c:pt idx="2">
                    <c:v>3.9232937546437342E-2</c:v>
                  </c:pt>
                  <c:pt idx="3">
                    <c:v>4.9342053082177581E-2</c:v>
                  </c:pt>
                  <c:pt idx="4">
                    <c:v>5.8071364796963482E-2</c:v>
                  </c:pt>
                  <c:pt idx="5">
                    <c:v>6.293398268878482E-2</c:v>
                  </c:pt>
                  <c:pt idx="6">
                    <c:v>6.3499453202946296E-2</c:v>
                  </c:pt>
                </c:numCache>
              </c:numRef>
            </c:plus>
            <c:minus>
              <c:numRef>
                <c:f>Sheet1!$H$124:$H$130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2.45728427637836E-2</c:v>
                  </c:pt>
                  <c:pt idx="2">
                    <c:v>3.9232937546437342E-2</c:v>
                  </c:pt>
                  <c:pt idx="3">
                    <c:v>4.9342053082177581E-2</c:v>
                  </c:pt>
                  <c:pt idx="4">
                    <c:v>5.8071364796963482E-2</c:v>
                  </c:pt>
                  <c:pt idx="5">
                    <c:v>6.293398268878482E-2</c:v>
                  </c:pt>
                  <c:pt idx="6">
                    <c:v>6.3499453202946296E-2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Sheet1!$H$114:$H$120</c:f>
              <c:numCache>
                <c:formatCode>0.0000</c:formatCode>
                <c:ptCount val="7"/>
                <c:pt idx="0">
                  <c:v>0</c:v>
                </c:pt>
                <c:pt idx="1">
                  <c:v>0.21465236484634515</c:v>
                </c:pt>
                <c:pt idx="2">
                  <c:v>0.29454778600503417</c:v>
                </c:pt>
                <c:pt idx="3">
                  <c:v>0.36112730363727524</c:v>
                </c:pt>
                <c:pt idx="4">
                  <c:v>0.4175867345894157</c:v>
                </c:pt>
                <c:pt idx="5">
                  <c:v>0.47404616554155576</c:v>
                </c:pt>
                <c:pt idx="6">
                  <c:v>0.52624450736523309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4-BC45-A308-0F9A0D7BFC06}"/>
            </c:ext>
          </c:extLst>
        </c:ser>
        <c:ser>
          <c:idx val="1"/>
          <c:order val="2"/>
          <c:tx>
            <c:strRef>
              <c:f>Sheet1!$C$113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Sheet1!$C$124:$C$130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9.5431693653309606E-3</c:v>
                  </c:pt>
                  <c:pt idx="2">
                    <c:v>9.4094029282633055E-3</c:v>
                  </c:pt>
                  <c:pt idx="3">
                    <c:v>1.3378468416918171E-2</c:v>
                  </c:pt>
                  <c:pt idx="4">
                    <c:v>1.277136655664725E-2</c:v>
                  </c:pt>
                  <c:pt idx="5">
                    <c:v>2.4844770530399598E-2</c:v>
                  </c:pt>
                  <c:pt idx="6">
                    <c:v>2.5546780859818596E-2</c:v>
                  </c:pt>
                </c:numCache>
              </c:numRef>
            </c:plus>
            <c:minus>
              <c:numRef>
                <c:f>Sheet1!$C$124:$C$130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9.5431693653309606E-3</c:v>
                  </c:pt>
                  <c:pt idx="2">
                    <c:v>9.4094029282633055E-3</c:v>
                  </c:pt>
                  <c:pt idx="3">
                    <c:v>1.3378468416918171E-2</c:v>
                  </c:pt>
                  <c:pt idx="4">
                    <c:v>1.277136655664725E-2</c:v>
                  </c:pt>
                  <c:pt idx="5">
                    <c:v>2.4844770530399598E-2</c:v>
                  </c:pt>
                  <c:pt idx="6">
                    <c:v>2.5546780859818596E-2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Sheet1!$C$114:$C$120</c:f>
              <c:numCache>
                <c:formatCode>0.0000</c:formatCode>
                <c:ptCount val="7"/>
                <c:pt idx="0">
                  <c:v>0</c:v>
                </c:pt>
                <c:pt idx="1">
                  <c:v>0.18451862093742602</c:v>
                </c:pt>
                <c:pt idx="2">
                  <c:v>0.25853755197249645</c:v>
                </c:pt>
                <c:pt idx="3">
                  <c:v>0.31881011010105392</c:v>
                </c:pt>
                <c:pt idx="4">
                  <c:v>0.37485301502760721</c:v>
                </c:pt>
                <c:pt idx="5">
                  <c:v>0.44252746625967176</c:v>
                </c:pt>
                <c:pt idx="6">
                  <c:v>0.50914450419123525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2-BB4F-B811-3A83121BB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5913625633923815"/>
          <c:h val="0.11337639169308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3"/>
          <c:order val="0"/>
          <c:tx>
            <c:strRef>
              <c:f>Sheet1!$I$113</c:f>
              <c:strCache>
                <c:ptCount val="1"/>
                <c:pt idx="0">
                  <c:v>0.2%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Sheet1!$J$124:$J$130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3.9249082811107151E-2</c:v>
                  </c:pt>
                  <c:pt idx="2">
                    <c:v>4.185076036140601E-2</c:v>
                  </c:pt>
                  <c:pt idx="3">
                    <c:v>7.6739673980874043E-2</c:v>
                  </c:pt>
                  <c:pt idx="4">
                    <c:v>6.8713837213156242E-2</c:v>
                  </c:pt>
                  <c:pt idx="5">
                    <c:v>7.9174760374635694E-2</c:v>
                  </c:pt>
                  <c:pt idx="6">
                    <c:v>7.2952205613434934E-2</c:v>
                  </c:pt>
                </c:numCache>
              </c:numRef>
            </c:plus>
            <c:minus>
              <c:numRef>
                <c:f>Sheet1!$J$124:$J$130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3.9249082811107151E-2</c:v>
                  </c:pt>
                  <c:pt idx="2">
                    <c:v>4.185076036140601E-2</c:v>
                  </c:pt>
                  <c:pt idx="3">
                    <c:v>7.6739673980874043E-2</c:v>
                  </c:pt>
                  <c:pt idx="4">
                    <c:v>6.8713837213156242E-2</c:v>
                  </c:pt>
                  <c:pt idx="5">
                    <c:v>7.9174760374635694E-2</c:v>
                  </c:pt>
                  <c:pt idx="6">
                    <c:v>7.2952205613434934E-2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Sheet1!$I$114:$I$120</c:f>
              <c:numCache>
                <c:formatCode>0.0000</c:formatCode>
                <c:ptCount val="7"/>
                <c:pt idx="0">
                  <c:v>0</c:v>
                </c:pt>
                <c:pt idx="1">
                  <c:v>0.31174162303820602</c:v>
                </c:pt>
                <c:pt idx="2">
                  <c:v>0.43057646395704369</c:v>
                </c:pt>
                <c:pt idx="3">
                  <c:v>0.53076009665992008</c:v>
                </c:pt>
                <c:pt idx="4">
                  <c:v>0.63573975433261498</c:v>
                </c:pt>
                <c:pt idx="5">
                  <c:v>0.73166025372898613</c:v>
                </c:pt>
                <c:pt idx="6">
                  <c:v>0.82012026983897279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3-CB41-9B4B-B8F83046447C}"/>
            </c:ext>
          </c:extLst>
        </c:ser>
        <c:ser>
          <c:idx val="0"/>
          <c:order val="1"/>
          <c:tx>
            <c:strRef>
              <c:f>Sheet1!$J$113</c:f>
              <c:strCache>
                <c:ptCount val="1"/>
                <c:pt idx="0">
                  <c:v>0.5% GO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Sheet1!$I$124:$I$130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2.9031714577627061E-2</c:v>
                  </c:pt>
                  <c:pt idx="2">
                    <c:v>3.7372867138390206E-2</c:v>
                  </c:pt>
                  <c:pt idx="3">
                    <c:v>4.9451143161559075E-2</c:v>
                  </c:pt>
                  <c:pt idx="4">
                    <c:v>7.8447691590411983E-2</c:v>
                  </c:pt>
                  <c:pt idx="5">
                    <c:v>8.4166500036552683E-2</c:v>
                  </c:pt>
                  <c:pt idx="6">
                    <c:v>0.1012904082773642</c:v>
                  </c:pt>
                </c:numCache>
              </c:numRef>
            </c:plus>
            <c:minus>
              <c:numRef>
                <c:f>Sheet1!$I$124:$I$130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2.9031714577627061E-2</c:v>
                  </c:pt>
                  <c:pt idx="2">
                    <c:v>3.7372867138390206E-2</c:v>
                  </c:pt>
                  <c:pt idx="3">
                    <c:v>4.9451143161559075E-2</c:v>
                  </c:pt>
                  <c:pt idx="4">
                    <c:v>7.8447691590411983E-2</c:v>
                  </c:pt>
                  <c:pt idx="5">
                    <c:v>8.4166500036552683E-2</c:v>
                  </c:pt>
                  <c:pt idx="6">
                    <c:v>0.1012904082773642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Sheet1!$J$114:$J$120</c:f>
              <c:numCache>
                <c:formatCode>0.0000</c:formatCode>
                <c:ptCount val="7"/>
                <c:pt idx="0">
                  <c:v>0</c:v>
                </c:pt>
                <c:pt idx="1">
                  <c:v>0.34893804715268223</c:v>
                </c:pt>
                <c:pt idx="2">
                  <c:v>0.471092919063058</c:v>
                </c:pt>
                <c:pt idx="3">
                  <c:v>0.58953003400224868</c:v>
                </c:pt>
                <c:pt idx="4">
                  <c:v>0.69787609430536446</c:v>
                </c:pt>
                <c:pt idx="5">
                  <c:v>0.80622215460848023</c:v>
                </c:pt>
                <c:pt idx="6">
                  <c:v>0.85986407662129749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E3-CB41-9B4B-B8F83046447C}"/>
            </c:ext>
          </c:extLst>
        </c:ser>
        <c:ser>
          <c:idx val="1"/>
          <c:order val="2"/>
          <c:tx>
            <c:strRef>
              <c:f>Sheet1!$C$113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Sheet1!$C$124:$C$130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9.5431693653309606E-3</c:v>
                  </c:pt>
                  <c:pt idx="2">
                    <c:v>9.4094029282633055E-3</c:v>
                  </c:pt>
                  <c:pt idx="3">
                    <c:v>1.3378468416918171E-2</c:v>
                  </c:pt>
                  <c:pt idx="4">
                    <c:v>1.277136655664725E-2</c:v>
                  </c:pt>
                  <c:pt idx="5">
                    <c:v>2.4844770530399598E-2</c:v>
                  </c:pt>
                  <c:pt idx="6">
                    <c:v>2.5546780859818596E-2</c:v>
                  </c:pt>
                </c:numCache>
              </c:numRef>
            </c:plus>
            <c:minus>
              <c:numRef>
                <c:f>Sheet1!$C$124:$C$130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9.5431693653309606E-3</c:v>
                  </c:pt>
                  <c:pt idx="2">
                    <c:v>9.4094029282633055E-3</c:v>
                  </c:pt>
                  <c:pt idx="3">
                    <c:v>1.3378468416918171E-2</c:v>
                  </c:pt>
                  <c:pt idx="4">
                    <c:v>1.277136655664725E-2</c:v>
                  </c:pt>
                  <c:pt idx="5">
                    <c:v>2.4844770530399598E-2</c:v>
                  </c:pt>
                  <c:pt idx="6">
                    <c:v>2.5546780859818596E-2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Sheet1!$B$114:$B$120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Sheet1!$C$114:$C$120</c:f>
              <c:numCache>
                <c:formatCode>0.0000</c:formatCode>
                <c:ptCount val="7"/>
                <c:pt idx="0">
                  <c:v>0</c:v>
                </c:pt>
                <c:pt idx="1">
                  <c:v>0.18451862093742602</c:v>
                </c:pt>
                <c:pt idx="2">
                  <c:v>0.25853755197249645</c:v>
                </c:pt>
                <c:pt idx="3">
                  <c:v>0.31881011010105392</c:v>
                </c:pt>
                <c:pt idx="4">
                  <c:v>0.37485301502760721</c:v>
                </c:pt>
                <c:pt idx="5">
                  <c:v>0.44252746625967176</c:v>
                </c:pt>
                <c:pt idx="6">
                  <c:v>0.50914450419123525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F-4D41-8749-8BA2A120402D}"/>
            </c:ext>
          </c:extLst>
        </c:ser>
        <c:ser>
          <c:idx val="2"/>
          <c:order val="3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85F-4D41-8749-8BA2A1204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74086383650733012"/>
          <c:y val="0.17310463831939177"/>
          <c:w val="0.21657844995496339"/>
          <c:h val="0.110860023429768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3"/>
          <c:order val="0"/>
          <c:tx>
            <c:strRef>
              <c:f>Boat!$D$129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plus>
            <c:min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Boat!$C$130:$C$136</c:f>
              <c:numCache>
                <c:formatCode>0.0000</c:formatCode>
                <c:ptCount val="7"/>
                <c:pt idx="0">
                  <c:v>0</c:v>
                </c:pt>
                <c:pt idx="1">
                  <c:v>0.13062986295663848</c:v>
                </c:pt>
                <c:pt idx="2">
                  <c:v>0.17756613406227045</c:v>
                </c:pt>
                <c:pt idx="3">
                  <c:v>0.20263651180142336</c:v>
                </c:pt>
                <c:pt idx="4">
                  <c:v>0.22770688954057619</c:v>
                </c:pt>
                <c:pt idx="5">
                  <c:v>0.2488187865840733</c:v>
                </c:pt>
                <c:pt idx="6">
                  <c:v>0.27106167811204351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F-D741-AB5B-972FE83E900A}"/>
            </c:ext>
          </c:extLst>
        </c:ser>
        <c:ser>
          <c:idx val="0"/>
          <c:order val="1"/>
          <c:tx>
            <c:strRef>
              <c:f>Boat!$C$129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plus>
            <c:min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Boat!$D$130:$D$136</c:f>
              <c:numCache>
                <c:formatCode>0.0000</c:formatCode>
                <c:ptCount val="7"/>
                <c:pt idx="0">
                  <c:v>0</c:v>
                </c:pt>
                <c:pt idx="1">
                  <c:v>0.16335625643432833</c:v>
                </c:pt>
                <c:pt idx="2">
                  <c:v>0.19302190873781447</c:v>
                </c:pt>
                <c:pt idx="3">
                  <c:v>0.21605182302604709</c:v>
                </c:pt>
                <c:pt idx="4">
                  <c:v>0.22971363658686308</c:v>
                </c:pt>
                <c:pt idx="5">
                  <c:v>0.24552230656437882</c:v>
                </c:pt>
                <c:pt idx="6">
                  <c:v>0.25586625111756806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F-D741-AB5B-972FE83E900A}"/>
            </c:ext>
          </c:extLst>
        </c:ser>
        <c:ser>
          <c:idx val="1"/>
          <c:order val="2"/>
          <c:tx>
            <c:strRef>
              <c:f>Boat!$E$129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Boat!$E$130:$E$136</c:f>
              <c:numCache>
                <c:formatCode>0.0000</c:formatCode>
                <c:ptCount val="7"/>
                <c:pt idx="0">
                  <c:v>0</c:v>
                </c:pt>
                <c:pt idx="1">
                  <c:v>0.15738527392480059</c:v>
                </c:pt>
                <c:pt idx="2">
                  <c:v>0.18467307477623121</c:v>
                </c:pt>
                <c:pt idx="3">
                  <c:v>0.20638801489039793</c:v>
                </c:pt>
                <c:pt idx="4">
                  <c:v>0.21887890964633444</c:v>
                </c:pt>
                <c:pt idx="5">
                  <c:v>0.23194630723716037</c:v>
                </c:pt>
                <c:pt idx="6">
                  <c:v>0.24559020766287568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F-D741-AB5B-972FE83E900A}"/>
            </c:ext>
          </c:extLst>
        </c:ser>
        <c:ser>
          <c:idx val="2"/>
          <c:order val="3"/>
          <c:tx>
            <c:strRef>
              <c:f>Boat!$F$129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4.2076193829529863E-3</c:v>
                  </c:pt>
                  <c:pt idx="2">
                    <c:v>5.2584090169823221E-3</c:v>
                  </c:pt>
                  <c:pt idx="3">
                    <c:v>1.1193958795716927E-2</c:v>
                  </c:pt>
                  <c:pt idx="4">
                    <c:v>1.6821182519487669E-2</c:v>
                  </c:pt>
                  <c:pt idx="5">
                    <c:v>2.1808998597307047E-2</c:v>
                  </c:pt>
                  <c:pt idx="6">
                    <c:v>2.8603152120732628E-2</c:v>
                  </c:pt>
                </c:numCache>
              </c:numRef>
            </c:plus>
            <c:minus>
              <c:numRef>
                <c:f>Boat!$F$142:$F$148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4.2076193829529863E-3</c:v>
                  </c:pt>
                  <c:pt idx="2">
                    <c:v>5.2584090169823221E-3</c:v>
                  </c:pt>
                  <c:pt idx="3">
                    <c:v>1.1193958795716927E-2</c:v>
                  </c:pt>
                  <c:pt idx="4">
                    <c:v>1.6821182519487669E-2</c:v>
                  </c:pt>
                  <c:pt idx="5">
                    <c:v>2.1808998597307047E-2</c:v>
                  </c:pt>
                  <c:pt idx="6">
                    <c:v>2.8603152120732628E-2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Boat!$F$130:$F$136</c:f>
              <c:numCache>
                <c:formatCode>0.0000</c:formatCode>
                <c:ptCount val="7"/>
                <c:pt idx="0">
                  <c:v>0</c:v>
                </c:pt>
                <c:pt idx="1">
                  <c:v>8.9107839232627592E-2</c:v>
                </c:pt>
                <c:pt idx="2">
                  <c:v>0.12724527143969536</c:v>
                </c:pt>
                <c:pt idx="3">
                  <c:v>0.15417644394610822</c:v>
                </c:pt>
                <c:pt idx="4">
                  <c:v>0.17676970947162235</c:v>
                </c:pt>
                <c:pt idx="5">
                  <c:v>0.20098969011497342</c:v>
                </c:pt>
                <c:pt idx="6">
                  <c:v>0.22448668626150806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6F-D741-AB5B-972FE83E900A}"/>
            </c:ext>
          </c:extLst>
        </c:ser>
        <c:ser>
          <c:idx val="4"/>
          <c:order val="4"/>
          <c:tx>
            <c:strRef>
              <c:f>Boat!$G$129</c:f>
              <c:strCache>
                <c:ptCount val="1"/>
                <c:pt idx="0">
                  <c:v>0.2% GO @ 100°C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plus>
            <c:min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0.14870025062781644</c:v>
                </c:pt>
                <c:pt idx="2">
                  <c:v>0.17077148279647353</c:v>
                </c:pt>
                <c:pt idx="3">
                  <c:v>0.18872773947605892</c:v>
                </c:pt>
                <c:pt idx="4">
                  <c:v>0.20518764143234555</c:v>
                </c:pt>
                <c:pt idx="5">
                  <c:v>0.22089936602698282</c:v>
                </c:pt>
                <c:pt idx="6">
                  <c:v>0.22987749436677549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F-D741-AB5B-972FE83E900A}"/>
            </c:ext>
          </c:extLst>
        </c:ser>
        <c:ser>
          <c:idx val="5"/>
          <c:order val="5"/>
          <c:tx>
            <c:strRef>
              <c:f>Boat!$H$129</c:f>
              <c:strCache>
                <c:ptCount val="1"/>
                <c:pt idx="0">
                  <c:v>0.5% GO @ 100°C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plus>
            <c:min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Boat!$H$130:$H$136</c:f>
              <c:numCache>
                <c:formatCode>0.0000</c:formatCode>
                <c:ptCount val="7"/>
                <c:pt idx="0">
                  <c:v>0</c:v>
                </c:pt>
                <c:pt idx="1">
                  <c:v>0.1654109318630374</c:v>
                </c:pt>
                <c:pt idx="2">
                  <c:v>0.19209621949769229</c:v>
                </c:pt>
                <c:pt idx="3">
                  <c:v>0.21651041882301469</c:v>
                </c:pt>
                <c:pt idx="4">
                  <c:v>0.23676095624789459</c:v>
                </c:pt>
                <c:pt idx="5">
                  <c:v>0.24754862571722319</c:v>
                </c:pt>
                <c:pt idx="6">
                  <c:v>0.26117515557321702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F-D741-AB5B-972FE83E9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2428219811345296"/>
          <c:h val="0.2299954718646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3"/>
          <c:order val="0"/>
          <c:tx>
            <c:strRef>
              <c:f>Boat!$D$129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plus>
            <c:min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Boat!$C$130:$C$136</c:f>
              <c:numCache>
                <c:formatCode>0.0000</c:formatCode>
                <c:ptCount val="7"/>
                <c:pt idx="0">
                  <c:v>0</c:v>
                </c:pt>
                <c:pt idx="1">
                  <c:v>0.13062986295663848</c:v>
                </c:pt>
                <c:pt idx="2">
                  <c:v>0.17756613406227045</c:v>
                </c:pt>
                <c:pt idx="3">
                  <c:v>0.20263651180142336</c:v>
                </c:pt>
                <c:pt idx="4">
                  <c:v>0.22770688954057619</c:v>
                </c:pt>
                <c:pt idx="5">
                  <c:v>0.2488187865840733</c:v>
                </c:pt>
                <c:pt idx="6">
                  <c:v>0.27106167811204351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8-394E-8A0C-C0B5B9C71A43}"/>
            </c:ext>
          </c:extLst>
        </c:ser>
        <c:ser>
          <c:idx val="0"/>
          <c:order val="1"/>
          <c:tx>
            <c:strRef>
              <c:f>Boat!$C$129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plus>
            <c:min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Boat!$D$130:$D$136</c:f>
              <c:numCache>
                <c:formatCode>0.0000</c:formatCode>
                <c:ptCount val="7"/>
                <c:pt idx="0">
                  <c:v>0</c:v>
                </c:pt>
                <c:pt idx="1">
                  <c:v>0.16335625643432833</c:v>
                </c:pt>
                <c:pt idx="2">
                  <c:v>0.19302190873781447</c:v>
                </c:pt>
                <c:pt idx="3">
                  <c:v>0.21605182302604709</c:v>
                </c:pt>
                <c:pt idx="4">
                  <c:v>0.22971363658686308</c:v>
                </c:pt>
                <c:pt idx="5">
                  <c:v>0.24552230656437882</c:v>
                </c:pt>
                <c:pt idx="6">
                  <c:v>0.25586625111756806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68-394E-8A0C-C0B5B9C71A43}"/>
            </c:ext>
          </c:extLst>
        </c:ser>
        <c:ser>
          <c:idx val="4"/>
          <c:order val="2"/>
          <c:tx>
            <c:strRef>
              <c:f>Boat!$G$129</c:f>
              <c:strCache>
                <c:ptCount val="1"/>
                <c:pt idx="0">
                  <c:v>0.2% GO @ 100°C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plus>
            <c:min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0.14870025062781644</c:v>
                </c:pt>
                <c:pt idx="2">
                  <c:v>0.17077148279647353</c:v>
                </c:pt>
                <c:pt idx="3">
                  <c:v>0.18872773947605892</c:v>
                </c:pt>
                <c:pt idx="4">
                  <c:v>0.20518764143234555</c:v>
                </c:pt>
                <c:pt idx="5">
                  <c:v>0.22089936602698282</c:v>
                </c:pt>
                <c:pt idx="6">
                  <c:v>0.22987749436677549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68-394E-8A0C-C0B5B9C71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2428219811345296"/>
          <c:h val="0.2299954718646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0"/>
          <c:order val="0"/>
          <c:tx>
            <c:strRef>
              <c:f>Boat!$C$129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plus>
            <c:min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Boat!$D$130:$D$136</c:f>
              <c:numCache>
                <c:formatCode>0.0000</c:formatCode>
                <c:ptCount val="7"/>
                <c:pt idx="0">
                  <c:v>0</c:v>
                </c:pt>
                <c:pt idx="1">
                  <c:v>0.16335625643432833</c:v>
                </c:pt>
                <c:pt idx="2">
                  <c:v>0.19302190873781447</c:v>
                </c:pt>
                <c:pt idx="3">
                  <c:v>0.21605182302604709</c:v>
                </c:pt>
                <c:pt idx="4">
                  <c:v>0.22971363658686308</c:v>
                </c:pt>
                <c:pt idx="5">
                  <c:v>0.24552230656437882</c:v>
                </c:pt>
                <c:pt idx="6">
                  <c:v>0.25586625111756806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F-D741-AB5B-972FE83E900A}"/>
            </c:ext>
          </c:extLst>
        </c:ser>
        <c:ser>
          <c:idx val="1"/>
          <c:order val="1"/>
          <c:tx>
            <c:strRef>
              <c:f>Boat!$E$129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Boat!$E$130:$E$136</c:f>
              <c:numCache>
                <c:formatCode>0.0000</c:formatCode>
                <c:ptCount val="7"/>
                <c:pt idx="0">
                  <c:v>0</c:v>
                </c:pt>
                <c:pt idx="1">
                  <c:v>0.15738527392480059</c:v>
                </c:pt>
                <c:pt idx="2">
                  <c:v>0.18467307477623121</c:v>
                </c:pt>
                <c:pt idx="3">
                  <c:v>0.20638801489039793</c:v>
                </c:pt>
                <c:pt idx="4">
                  <c:v>0.21887890964633444</c:v>
                </c:pt>
                <c:pt idx="5">
                  <c:v>0.23194630723716037</c:v>
                </c:pt>
                <c:pt idx="6">
                  <c:v>0.24559020766287568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F-D741-AB5B-972FE83E900A}"/>
            </c:ext>
          </c:extLst>
        </c:ser>
        <c:ser>
          <c:idx val="4"/>
          <c:order val="2"/>
          <c:tx>
            <c:strRef>
              <c:f>Boat!$G$129</c:f>
              <c:strCache>
                <c:ptCount val="1"/>
                <c:pt idx="0">
                  <c:v>0.2% GO @ 100°C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plus>
            <c:min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0.14870025062781644</c:v>
                </c:pt>
                <c:pt idx="2">
                  <c:v>0.17077148279647353</c:v>
                </c:pt>
                <c:pt idx="3">
                  <c:v>0.18872773947605892</c:v>
                </c:pt>
                <c:pt idx="4">
                  <c:v>0.20518764143234555</c:v>
                </c:pt>
                <c:pt idx="5">
                  <c:v>0.22089936602698282</c:v>
                </c:pt>
                <c:pt idx="6">
                  <c:v>0.22987749436677549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F-D741-AB5B-972FE83E900A}"/>
            </c:ext>
          </c:extLst>
        </c:ser>
        <c:ser>
          <c:idx val="5"/>
          <c:order val="3"/>
          <c:tx>
            <c:strRef>
              <c:f>Boat!$H$129</c:f>
              <c:strCache>
                <c:ptCount val="1"/>
                <c:pt idx="0">
                  <c:v>0.5% GO @ 100°C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plus>
            <c:min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Boat!$H$130:$H$136</c:f>
              <c:numCache>
                <c:formatCode>0.0000</c:formatCode>
                <c:ptCount val="7"/>
                <c:pt idx="0">
                  <c:v>0</c:v>
                </c:pt>
                <c:pt idx="1">
                  <c:v>0.1654109318630374</c:v>
                </c:pt>
                <c:pt idx="2">
                  <c:v>0.19209621949769229</c:v>
                </c:pt>
                <c:pt idx="3">
                  <c:v>0.21651041882301469</c:v>
                </c:pt>
                <c:pt idx="4">
                  <c:v>0.23676095624789459</c:v>
                </c:pt>
                <c:pt idx="5">
                  <c:v>0.24754862571722319</c:v>
                </c:pt>
                <c:pt idx="6">
                  <c:v>0.26117515557321702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F-D741-AB5B-972FE83E9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2428219811345296"/>
          <c:h val="0.2299954718646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3"/>
          <c:order val="0"/>
          <c:tx>
            <c:strRef>
              <c:f>Boat!$D$129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plus>
            <c:min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Boat!$C$130:$C$136</c:f>
              <c:numCache>
                <c:formatCode>0.0000</c:formatCode>
                <c:ptCount val="7"/>
                <c:pt idx="0">
                  <c:v>0</c:v>
                </c:pt>
                <c:pt idx="1">
                  <c:v>0.13062986295663848</c:v>
                </c:pt>
                <c:pt idx="2">
                  <c:v>0.17756613406227045</c:v>
                </c:pt>
                <c:pt idx="3">
                  <c:v>0.20263651180142336</c:v>
                </c:pt>
                <c:pt idx="4">
                  <c:v>0.22770688954057619</c:v>
                </c:pt>
                <c:pt idx="5">
                  <c:v>0.2488187865840733</c:v>
                </c:pt>
                <c:pt idx="6">
                  <c:v>0.27106167811204351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D-9041-810A-20B7DFCE8801}"/>
            </c:ext>
          </c:extLst>
        </c:ser>
        <c:ser>
          <c:idx val="0"/>
          <c:order val="1"/>
          <c:tx>
            <c:strRef>
              <c:f>Boat!$C$129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plus>
            <c:min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Boat!$D$130:$D$136</c:f>
              <c:numCache>
                <c:formatCode>0.0000</c:formatCode>
                <c:ptCount val="7"/>
                <c:pt idx="0">
                  <c:v>0</c:v>
                </c:pt>
                <c:pt idx="1">
                  <c:v>0.16335625643432833</c:v>
                </c:pt>
                <c:pt idx="2">
                  <c:v>0.19302190873781447</c:v>
                </c:pt>
                <c:pt idx="3">
                  <c:v>0.21605182302604709</c:v>
                </c:pt>
                <c:pt idx="4">
                  <c:v>0.22971363658686308</c:v>
                </c:pt>
                <c:pt idx="5">
                  <c:v>0.24552230656437882</c:v>
                </c:pt>
                <c:pt idx="6">
                  <c:v>0.25586625111756806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6D-9041-810A-20B7DFCE8801}"/>
            </c:ext>
          </c:extLst>
        </c:ser>
        <c:ser>
          <c:idx val="1"/>
          <c:order val="2"/>
          <c:tx>
            <c:strRef>
              <c:f>Boat!$E$129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Boat!$E$130:$E$136</c:f>
              <c:numCache>
                <c:formatCode>0.0000</c:formatCode>
                <c:ptCount val="7"/>
                <c:pt idx="0">
                  <c:v>0</c:v>
                </c:pt>
                <c:pt idx="1">
                  <c:v>0.15738527392480059</c:v>
                </c:pt>
                <c:pt idx="2">
                  <c:v>0.18467307477623121</c:v>
                </c:pt>
                <c:pt idx="3">
                  <c:v>0.20638801489039793</c:v>
                </c:pt>
                <c:pt idx="4">
                  <c:v>0.21887890964633444</c:v>
                </c:pt>
                <c:pt idx="5">
                  <c:v>0.23194630723716037</c:v>
                </c:pt>
                <c:pt idx="6">
                  <c:v>0.24559020766287568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6D-9041-810A-20B7DFCE8801}"/>
            </c:ext>
          </c:extLst>
        </c:ser>
        <c:ser>
          <c:idx val="2"/>
          <c:order val="3"/>
          <c:tx>
            <c:strRef>
              <c:f>Boat!$F$129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4.2076193829529863E-3</c:v>
                  </c:pt>
                  <c:pt idx="2">
                    <c:v>5.2584090169823221E-3</c:v>
                  </c:pt>
                  <c:pt idx="3">
                    <c:v>1.1193958795716927E-2</c:v>
                  </c:pt>
                  <c:pt idx="4">
                    <c:v>1.6821182519487669E-2</c:v>
                  </c:pt>
                  <c:pt idx="5">
                    <c:v>2.1808998597307047E-2</c:v>
                  </c:pt>
                  <c:pt idx="6">
                    <c:v>2.8603152120732628E-2</c:v>
                  </c:pt>
                </c:numCache>
              </c:numRef>
            </c:plus>
            <c:minus>
              <c:numRef>
                <c:f>Boat!$F$142:$F$148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4.2076193829529863E-3</c:v>
                  </c:pt>
                  <c:pt idx="2">
                    <c:v>5.2584090169823221E-3</c:v>
                  </c:pt>
                  <c:pt idx="3">
                    <c:v>1.1193958795716927E-2</c:v>
                  </c:pt>
                  <c:pt idx="4">
                    <c:v>1.6821182519487669E-2</c:v>
                  </c:pt>
                  <c:pt idx="5">
                    <c:v>2.1808998597307047E-2</c:v>
                  </c:pt>
                  <c:pt idx="6">
                    <c:v>2.8603152120732628E-2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Boat!$F$130:$F$136</c:f>
              <c:numCache>
                <c:formatCode>0.0000</c:formatCode>
                <c:ptCount val="7"/>
                <c:pt idx="0">
                  <c:v>0</c:v>
                </c:pt>
                <c:pt idx="1">
                  <c:v>8.9107839232627592E-2</c:v>
                </c:pt>
                <c:pt idx="2">
                  <c:v>0.12724527143969536</c:v>
                </c:pt>
                <c:pt idx="3">
                  <c:v>0.15417644394610822</c:v>
                </c:pt>
                <c:pt idx="4">
                  <c:v>0.17676970947162235</c:v>
                </c:pt>
                <c:pt idx="5">
                  <c:v>0.20098969011497342</c:v>
                </c:pt>
                <c:pt idx="6">
                  <c:v>0.22448668626150806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6D-9041-810A-20B7DFCE8801}"/>
            </c:ext>
          </c:extLst>
        </c:ser>
        <c:ser>
          <c:idx val="4"/>
          <c:order val="4"/>
          <c:tx>
            <c:strRef>
              <c:f>Boat!$G$129</c:f>
              <c:strCache>
                <c:ptCount val="1"/>
                <c:pt idx="0">
                  <c:v>0.2% GO @ 100°C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plus>
            <c:minus>
              <c:numRef>
                <c:f>Boat!$G$142:$G$148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4.7374126057975821E-3</c:v>
                  </c:pt>
                  <c:pt idx="2">
                    <c:v>5.5994031122362621E-3</c:v>
                  </c:pt>
                  <c:pt idx="3">
                    <c:v>7.9018132965501982E-3</c:v>
                  </c:pt>
                  <c:pt idx="4">
                    <c:v>9.6430305105574838E-3</c:v>
                  </c:pt>
                  <c:pt idx="5">
                    <c:v>1.6157866319160094E-2</c:v>
                  </c:pt>
                  <c:pt idx="6">
                    <c:v>8.8041105519359539E-3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0.14870025062781644</c:v>
                </c:pt>
                <c:pt idx="2">
                  <c:v>0.17077148279647353</c:v>
                </c:pt>
                <c:pt idx="3">
                  <c:v>0.18872773947605892</c:v>
                </c:pt>
                <c:pt idx="4">
                  <c:v>0.20518764143234555</c:v>
                </c:pt>
                <c:pt idx="5">
                  <c:v>0.22089936602698282</c:v>
                </c:pt>
                <c:pt idx="6">
                  <c:v>0.22987749436677549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6D-9041-810A-20B7DFCE8801}"/>
            </c:ext>
          </c:extLst>
        </c:ser>
        <c:ser>
          <c:idx val="5"/>
          <c:order val="5"/>
          <c:tx>
            <c:strRef>
              <c:f>Boat!$H$129</c:f>
              <c:strCache>
                <c:ptCount val="1"/>
                <c:pt idx="0">
                  <c:v>0.5% GO @ 100°C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plus>
            <c:minus>
              <c:numRef>
                <c:f>Boat!$H$142:$H$148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6.889378713671299E-3</c:v>
                  </c:pt>
                  <c:pt idx="2">
                    <c:v>5.9433406917471726E-3</c:v>
                  </c:pt>
                  <c:pt idx="3">
                    <c:v>9.0798619478588138E-3</c:v>
                  </c:pt>
                  <c:pt idx="4">
                    <c:v>6.6616092082075733E-3</c:v>
                  </c:pt>
                  <c:pt idx="5">
                    <c:v>9.914027216797237E-3</c:v>
                  </c:pt>
                  <c:pt idx="6">
                    <c:v>1.2491589734997069E-2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Boat!$H$130:$H$136</c:f>
              <c:numCache>
                <c:formatCode>0.0000</c:formatCode>
                <c:ptCount val="7"/>
                <c:pt idx="0">
                  <c:v>0</c:v>
                </c:pt>
                <c:pt idx="1">
                  <c:v>0.1654109318630374</c:v>
                </c:pt>
                <c:pt idx="2">
                  <c:v>0.19209621949769229</c:v>
                </c:pt>
                <c:pt idx="3">
                  <c:v>0.21651041882301469</c:v>
                </c:pt>
                <c:pt idx="4">
                  <c:v>0.23676095624789459</c:v>
                </c:pt>
                <c:pt idx="5">
                  <c:v>0.24754862571722319</c:v>
                </c:pt>
                <c:pt idx="6">
                  <c:v>0.26117515557321702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6D-9041-810A-20B7DFCE8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2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2428219811345296"/>
          <c:h val="0.2299954718646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1"/>
          <c:order val="0"/>
          <c:tx>
            <c:strRef>
              <c:f>Boat!$E$129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Boat!$E$130:$E$136</c:f>
              <c:numCache>
                <c:formatCode>0.0000</c:formatCode>
                <c:ptCount val="7"/>
                <c:pt idx="0">
                  <c:v>0</c:v>
                </c:pt>
                <c:pt idx="1">
                  <c:v>0.15738527392480059</c:v>
                </c:pt>
                <c:pt idx="2">
                  <c:v>0.18467307477623121</c:v>
                </c:pt>
                <c:pt idx="3">
                  <c:v>0.20638801489039793</c:v>
                </c:pt>
                <c:pt idx="4">
                  <c:v>0.21887890964633444</c:v>
                </c:pt>
                <c:pt idx="5">
                  <c:v>0.23194630723716037</c:v>
                </c:pt>
                <c:pt idx="6">
                  <c:v>0.24559020766287568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FD-6742-91FE-32E649D422ED}"/>
            </c:ext>
          </c:extLst>
        </c:ser>
        <c:ser>
          <c:idx val="2"/>
          <c:order val="1"/>
          <c:tx>
            <c:strRef>
              <c:f>'Figures for R'!$B$37</c:f>
              <c:strCache>
                <c:ptCount val="1"/>
                <c:pt idx="0">
                  <c:v>25% WBBC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'Figures for R'!$A$37:$A$43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'Figures for R'!$C$37:$C$43</c:f>
              <c:numCache>
                <c:formatCode>0.000</c:formatCode>
                <c:ptCount val="7"/>
                <c:pt idx="0">
                  <c:v>0</c:v>
                </c:pt>
                <c:pt idx="1">
                  <c:v>8.9107839232627592E-2</c:v>
                </c:pt>
                <c:pt idx="2">
                  <c:v>0.12724527143969536</c:v>
                </c:pt>
                <c:pt idx="3">
                  <c:v>0.15417644394610822</c:v>
                </c:pt>
                <c:pt idx="4">
                  <c:v>0.17676970947162235</c:v>
                </c:pt>
                <c:pt idx="5">
                  <c:v>0.20098969011497342</c:v>
                </c:pt>
                <c:pt idx="6">
                  <c:v>0.22448668626150806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FD-6742-91FE-32E649D422ED}"/>
            </c:ext>
          </c:extLst>
        </c:ser>
        <c:ser>
          <c:idx val="0"/>
          <c:order val="2"/>
          <c:tx>
            <c:strRef>
              <c:f>'Figures for R'!$B$24</c:f>
              <c:strCache>
                <c:ptCount val="1"/>
                <c:pt idx="0">
                  <c:v>0.2% GO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'Figures for R'!$A$23:$A$29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'Figures for R'!$C$23:$C$29</c:f>
              <c:numCache>
                <c:formatCode>0.000</c:formatCode>
                <c:ptCount val="7"/>
                <c:pt idx="0">
                  <c:v>0</c:v>
                </c:pt>
                <c:pt idx="1">
                  <c:v>0.14870025062781644</c:v>
                </c:pt>
                <c:pt idx="2">
                  <c:v>0.17077148279647353</c:v>
                </c:pt>
                <c:pt idx="3">
                  <c:v>0.18872773947605892</c:v>
                </c:pt>
                <c:pt idx="4">
                  <c:v>0.20518764143234555</c:v>
                </c:pt>
                <c:pt idx="5">
                  <c:v>0.22089936602698282</c:v>
                </c:pt>
                <c:pt idx="6">
                  <c:v>0.22987749436677549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FD-6742-91FE-32E649D422ED}"/>
            </c:ext>
          </c:extLst>
        </c:ser>
        <c:ser>
          <c:idx val="3"/>
          <c:order val="3"/>
          <c:tx>
            <c:strRef>
              <c:f>'Figures for R'!$B$31</c:f>
              <c:strCache>
                <c:ptCount val="1"/>
                <c:pt idx="0">
                  <c:v>0.5% GO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'Figures for R'!$A$30:$A$36</c:f>
              <c:numCache>
                <c:formatCode>0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'Figures for R'!$C$30:$C$36</c:f>
              <c:numCache>
                <c:formatCode>0.000</c:formatCode>
                <c:ptCount val="7"/>
                <c:pt idx="0">
                  <c:v>0</c:v>
                </c:pt>
                <c:pt idx="1">
                  <c:v>0.1654109318630374</c:v>
                </c:pt>
                <c:pt idx="2">
                  <c:v>0.19209621949769229</c:v>
                </c:pt>
                <c:pt idx="3">
                  <c:v>0.21651041882301469</c:v>
                </c:pt>
                <c:pt idx="4">
                  <c:v>0.23676095624789459</c:v>
                </c:pt>
                <c:pt idx="5">
                  <c:v>0.24754862571722319</c:v>
                </c:pt>
                <c:pt idx="6">
                  <c:v>0.26117515557321702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FD-6742-91FE-32E649D42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0357172585248356"/>
          <c:h val="0.153330314576414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IP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2620314556534"/>
          <c:y val="0.10542469826524808"/>
          <c:w val="0.60889729934418424"/>
          <c:h val="0.7879262072163099"/>
        </c:manualLayout>
      </c:layout>
      <c:scatterChart>
        <c:scatterStyle val="lineMarker"/>
        <c:varyColors val="0"/>
        <c:ser>
          <c:idx val="3"/>
          <c:order val="0"/>
          <c:tx>
            <c:strRef>
              <c:f>Boat!$D$129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plus>
            <c:minus>
              <c:numRef>
                <c:f>Boat!$C$142:$C$148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2.1509877097499984E-3</c:v>
                  </c:pt>
                  <c:pt idx="2">
                    <c:v>3.6704225779395981E-3</c:v>
                  </c:pt>
                  <c:pt idx="3">
                    <c:v>5.377469274374963E-3</c:v>
                  </c:pt>
                  <c:pt idx="4">
                    <c:v>5.2364383598754545E-3</c:v>
                  </c:pt>
                  <c:pt idx="5">
                    <c:v>7.4466728890361447E-3</c:v>
                  </c:pt>
                  <c:pt idx="6">
                    <c:v>1.4246562879763157E-2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Boat!$C$130:$C$136</c:f>
              <c:numCache>
                <c:formatCode>0.0000</c:formatCode>
                <c:ptCount val="7"/>
                <c:pt idx="0">
                  <c:v>0</c:v>
                </c:pt>
                <c:pt idx="1">
                  <c:v>0.13062986295663848</c:v>
                </c:pt>
                <c:pt idx="2">
                  <c:v>0.17756613406227045</c:v>
                </c:pt>
                <c:pt idx="3">
                  <c:v>0.20263651180142336</c:v>
                </c:pt>
                <c:pt idx="4">
                  <c:v>0.22770688954057619</c:v>
                </c:pt>
                <c:pt idx="5">
                  <c:v>0.2488187865840733</c:v>
                </c:pt>
                <c:pt idx="6">
                  <c:v>0.27106167811204351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9D-1343-A92A-0B3B3BB2BEAF}"/>
            </c:ext>
          </c:extLst>
        </c:ser>
        <c:ser>
          <c:idx val="0"/>
          <c:order val="1"/>
          <c:tx>
            <c:strRef>
              <c:f>Boat!$C$129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plus>
            <c:minus>
              <c:numRef>
                <c:f>Boat!$E$142:$E$148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3.5378634101560814E-3</c:v>
                  </c:pt>
                  <c:pt idx="2">
                    <c:v>2.6190289294197367E-3</c:v>
                  </c:pt>
                  <c:pt idx="3">
                    <c:v>4.3452028844091451E-3</c:v>
                  </c:pt>
                  <c:pt idx="4">
                    <c:v>3.779463131696496E-3</c:v>
                  </c:pt>
                  <c:pt idx="5">
                    <c:v>5.4692101632187748E-3</c:v>
                  </c:pt>
                  <c:pt idx="6">
                    <c:v>6.8213035356755559E-3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Boat!$D$130:$D$136</c:f>
              <c:numCache>
                <c:formatCode>0.0000</c:formatCode>
                <c:ptCount val="7"/>
                <c:pt idx="0">
                  <c:v>0</c:v>
                </c:pt>
                <c:pt idx="1">
                  <c:v>0.16335625643432833</c:v>
                </c:pt>
                <c:pt idx="2">
                  <c:v>0.19302190873781447</c:v>
                </c:pt>
                <c:pt idx="3">
                  <c:v>0.21605182302604709</c:v>
                </c:pt>
                <c:pt idx="4">
                  <c:v>0.22971363658686308</c:v>
                </c:pt>
                <c:pt idx="5">
                  <c:v>0.24552230656437882</c:v>
                </c:pt>
                <c:pt idx="6">
                  <c:v>0.25586625111756806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9D-1343-A92A-0B3B3BB2BEAF}"/>
            </c:ext>
          </c:extLst>
        </c:ser>
        <c:ser>
          <c:idx val="1"/>
          <c:order val="2"/>
          <c:tx>
            <c:strRef>
              <c:f>Boat!$E$129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Boat!$B$130:$B$136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Boat!$E$130:$E$136</c:f>
              <c:numCache>
                <c:formatCode>0.0000</c:formatCode>
                <c:ptCount val="7"/>
                <c:pt idx="0">
                  <c:v>0</c:v>
                </c:pt>
                <c:pt idx="1">
                  <c:v>0.15738527392480059</c:v>
                </c:pt>
                <c:pt idx="2">
                  <c:v>0.18467307477623121</c:v>
                </c:pt>
                <c:pt idx="3">
                  <c:v>0.20638801489039793</c:v>
                </c:pt>
                <c:pt idx="4">
                  <c:v>0.21887890964633444</c:v>
                </c:pt>
                <c:pt idx="5">
                  <c:v>0.23194630723716037</c:v>
                </c:pt>
                <c:pt idx="6">
                  <c:v>0.24559020766287568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9D-1343-A92A-0B3B3BB2B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2428219811345296"/>
          <c:h val="0.2299954718646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119063</xdr:colOff>
      <xdr:row>136</xdr:row>
      <xdr:rowOff>119062</xdr:rowOff>
    </xdr:from>
    <xdr:to>
      <xdr:col>10</xdr:col>
      <xdr:colOff>353589</xdr:colOff>
      <xdr:row>165</xdr:row>
      <xdr:rowOff>47986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5B8B03-DD15-DA44-B988-F11383804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783166</xdr:colOff>
      <xdr:row>137</xdr:row>
      <xdr:rowOff>21167</xdr:rowOff>
    </xdr:from>
    <xdr:to>
      <xdr:col>20</xdr:col>
      <xdr:colOff>192192</xdr:colOff>
      <xdr:row>165</xdr:row>
      <xdr:rowOff>161757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FBB4B0-8A48-B548-A567-2C1E27F02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155</xdr:row>
      <xdr:rowOff>0</xdr:rowOff>
    </xdr:from>
    <xdr:to>
      <xdr:col>18</xdr:col>
      <xdr:colOff>166204</xdr:colOff>
      <xdr:row>182</xdr:row>
      <xdr:rowOff>134015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BBE5B-7516-B247-AA22-D2626F9CA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787400</xdr:colOff>
      <xdr:row>156</xdr:row>
      <xdr:rowOff>76200</xdr:rowOff>
    </xdr:from>
    <xdr:to>
      <xdr:col>27</xdr:col>
      <xdr:colOff>123871</xdr:colOff>
      <xdr:row>184</xdr:row>
      <xdr:rowOff>7015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56B6C6-EAF8-E943-B2F4-91A1111FD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94574</xdr:colOff>
      <xdr:row>184</xdr:row>
      <xdr:rowOff>162128</xdr:rowOff>
    </xdr:from>
    <xdr:to>
      <xdr:col>18</xdr:col>
      <xdr:colOff>260778</xdr:colOff>
      <xdr:row>212</xdr:row>
      <xdr:rowOff>93484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5C00A6-FF7B-634A-83B8-5CA91825B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677334</xdr:colOff>
      <xdr:row>185</xdr:row>
      <xdr:rowOff>0</xdr:rowOff>
    </xdr:from>
    <xdr:to>
      <xdr:col>27</xdr:col>
      <xdr:colOff>10982</xdr:colOff>
      <xdr:row>212</xdr:row>
      <xdr:rowOff>134015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18748-969D-3F46-A537-93CBAA670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45</xdr:row>
      <xdr:rowOff>165100</xdr:rowOff>
    </xdr:from>
    <xdr:to>
      <xdr:col>9</xdr:col>
      <xdr:colOff>26504</xdr:colOff>
      <xdr:row>73</xdr:row>
      <xdr:rowOff>95915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614E7-A88A-2D4E-B878-DEC77D607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10</xdr:col>
      <xdr:colOff>267804</xdr:colOff>
      <xdr:row>106</xdr:row>
      <xdr:rowOff>134015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B840C7-A447-3647-A968-2365C43D7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4BF1-853F-624B-B893-B3C6292330EE}">
  <dimension ref="A1:P130"/>
  <sheetViews>
    <sheetView workbookViewId="0">
      <selection activeCell="G12" sqref="G12"/>
    </sheetView>
  </sheetViews>
  <sheetFormatPr baseColWidth="10" defaultColWidth="11" defaultRowHeight="16" x14ac:dyDescent="0.2"/>
  <cols>
    <col min="6" max="6" width="13" customWidth="1"/>
  </cols>
  <sheetData>
    <row r="1" spans="1:16" ht="5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N1" s="2"/>
      <c r="O1" s="2"/>
      <c r="P1" s="2"/>
    </row>
    <row r="2" spans="1:16" x14ac:dyDescent="0.2">
      <c r="A2" s="3">
        <v>1</v>
      </c>
      <c r="B2" s="4">
        <v>0</v>
      </c>
      <c r="C2" s="4">
        <v>0.83499999999999996</v>
      </c>
      <c r="D2" s="4"/>
      <c r="E2" s="4"/>
      <c r="F2" s="4"/>
      <c r="G2" s="4">
        <v>0.83199999999999996</v>
      </c>
      <c r="H2" s="4">
        <v>0.84399999999999997</v>
      </c>
      <c r="I2" s="4">
        <v>0.84799999999999998</v>
      </c>
      <c r="J2" s="4">
        <v>0.83899999999999997</v>
      </c>
      <c r="K2" s="4"/>
      <c r="N2" s="4"/>
      <c r="O2" s="4"/>
      <c r="P2" s="4"/>
    </row>
    <row r="3" spans="1:16" x14ac:dyDescent="0.2">
      <c r="A3" s="3">
        <v>2</v>
      </c>
      <c r="B3" s="4">
        <v>0</v>
      </c>
      <c r="C3" s="5">
        <v>0.84699999999999998</v>
      </c>
      <c r="D3" s="5"/>
      <c r="E3" s="4"/>
      <c r="F3" s="5"/>
      <c r="G3" s="4">
        <v>0.83599999999999997</v>
      </c>
      <c r="H3" s="4">
        <v>0.83699999999999997</v>
      </c>
      <c r="I3" s="4">
        <v>0.83099999999999996</v>
      </c>
      <c r="J3" s="4">
        <v>0.84499999999999997</v>
      </c>
      <c r="K3" s="4"/>
      <c r="N3" s="4"/>
      <c r="O3" s="4"/>
      <c r="P3" s="4"/>
    </row>
    <row r="4" spans="1:16" x14ac:dyDescent="0.2">
      <c r="A4" s="3">
        <v>3</v>
      </c>
      <c r="B4" s="4">
        <v>0</v>
      </c>
      <c r="C4" s="4">
        <v>0.83699999999999997</v>
      </c>
      <c r="D4" s="5"/>
      <c r="E4" s="4"/>
      <c r="F4" s="4"/>
      <c r="G4" s="4">
        <v>0.85199999999999998</v>
      </c>
      <c r="H4" s="4">
        <v>0.83099999999999996</v>
      </c>
      <c r="I4" s="4">
        <v>0.83</v>
      </c>
      <c r="J4" s="4">
        <v>0.82899999999999996</v>
      </c>
      <c r="K4" s="4"/>
      <c r="N4" s="4"/>
      <c r="O4" s="4"/>
      <c r="P4" s="4"/>
    </row>
    <row r="5" spans="1:16" x14ac:dyDescent="0.2">
      <c r="A5" s="3">
        <v>4</v>
      </c>
      <c r="B5" s="4">
        <v>0</v>
      </c>
      <c r="C5" s="4">
        <v>0.85899999999999999</v>
      </c>
      <c r="D5" s="4"/>
      <c r="E5" s="4"/>
      <c r="F5" s="4"/>
      <c r="G5" s="4">
        <v>0.83299999999999996</v>
      </c>
      <c r="H5" s="4">
        <v>0.82</v>
      </c>
      <c r="I5" s="4">
        <v>0.83699999999999997</v>
      </c>
      <c r="J5" s="4">
        <v>0.83199999999999996</v>
      </c>
      <c r="K5" s="5"/>
      <c r="N5" s="4"/>
      <c r="O5" s="4"/>
      <c r="P5" s="4"/>
    </row>
    <row r="6" spans="1:16" x14ac:dyDescent="0.2">
      <c r="A6" s="3">
        <v>5</v>
      </c>
      <c r="B6" s="4">
        <v>0</v>
      </c>
      <c r="C6" s="4">
        <v>0.82399999999999995</v>
      </c>
      <c r="D6" s="4"/>
      <c r="E6" s="4"/>
      <c r="F6" s="4"/>
      <c r="G6" s="4">
        <v>0.85499999999999998</v>
      </c>
      <c r="H6" s="4">
        <v>0.83899999999999997</v>
      </c>
      <c r="I6" s="4">
        <v>0.82299999999999995</v>
      </c>
      <c r="J6" s="4">
        <v>0.83799999999999997</v>
      </c>
      <c r="K6" s="4"/>
      <c r="N6" s="4"/>
      <c r="O6" s="4"/>
      <c r="P6" s="4"/>
    </row>
    <row r="7" spans="1:16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N7" s="4"/>
      <c r="O7" s="4"/>
      <c r="P7" s="4"/>
    </row>
    <row r="8" spans="1:16" x14ac:dyDescent="0.2">
      <c r="A8" s="3">
        <v>1</v>
      </c>
      <c r="B8" s="4">
        <v>10</v>
      </c>
      <c r="C8" s="4">
        <v>0.90600000000000003</v>
      </c>
      <c r="D8" s="4"/>
      <c r="E8" s="4"/>
      <c r="F8" s="5"/>
      <c r="G8" s="4">
        <v>0.89300000000000002</v>
      </c>
      <c r="H8" s="4">
        <v>0.91</v>
      </c>
      <c r="I8" s="5">
        <v>0.94899999999999995</v>
      </c>
      <c r="J8" s="4">
        <v>0.95099999999999996</v>
      </c>
      <c r="K8" s="4"/>
      <c r="N8" s="4"/>
      <c r="O8" s="4"/>
      <c r="P8" s="4"/>
    </row>
    <row r="9" spans="1:16" x14ac:dyDescent="0.2">
      <c r="A9" s="3">
        <v>2</v>
      </c>
      <c r="B9" s="4">
        <v>10</v>
      </c>
      <c r="C9" s="4">
        <v>0.91200000000000003</v>
      </c>
      <c r="D9" s="5"/>
      <c r="E9" s="4"/>
      <c r="F9" s="5"/>
      <c r="G9" s="4">
        <v>0.89900000000000002</v>
      </c>
      <c r="H9" s="4">
        <v>0.91600000000000004</v>
      </c>
      <c r="I9" s="4">
        <v>0.94499999999999995</v>
      </c>
      <c r="J9" s="4">
        <v>1</v>
      </c>
      <c r="K9" s="4"/>
      <c r="N9" s="4"/>
      <c r="O9" s="4"/>
      <c r="P9" s="4"/>
    </row>
    <row r="10" spans="1:16" x14ac:dyDescent="0.2">
      <c r="A10" s="3">
        <v>3</v>
      </c>
      <c r="B10" s="4">
        <v>10</v>
      </c>
      <c r="C10" s="4">
        <v>0.90400000000000003</v>
      </c>
      <c r="D10" s="4"/>
      <c r="E10" s="5"/>
      <c r="F10" s="5"/>
      <c r="G10" s="4">
        <v>0.91900000000000004</v>
      </c>
      <c r="H10" s="4">
        <v>0.92300000000000004</v>
      </c>
      <c r="I10" s="4">
        <v>0.94099999999999995</v>
      </c>
      <c r="J10" s="4">
        <v>0.95499999999999996</v>
      </c>
      <c r="K10" s="4"/>
      <c r="N10" s="4"/>
      <c r="O10" s="4"/>
      <c r="P10" s="4"/>
    </row>
    <row r="11" spans="1:16" x14ac:dyDescent="0.2">
      <c r="A11" s="3">
        <v>4</v>
      </c>
      <c r="B11" s="4">
        <v>10</v>
      </c>
      <c r="C11" s="4">
        <v>0.93400000000000005</v>
      </c>
      <c r="D11" s="4"/>
      <c r="E11" s="4"/>
      <c r="F11" s="4"/>
      <c r="G11" s="4">
        <v>0.89600000000000002</v>
      </c>
      <c r="H11" s="4">
        <v>0.89800000000000002</v>
      </c>
      <c r="I11" s="4">
        <v>0.96599999999999997</v>
      </c>
      <c r="J11" s="4">
        <v>0.97399999999999998</v>
      </c>
      <c r="K11" s="4"/>
      <c r="N11" s="4"/>
      <c r="O11" s="4"/>
      <c r="P11" s="4"/>
    </row>
    <row r="12" spans="1:16" x14ac:dyDescent="0.2">
      <c r="A12" s="3">
        <v>5</v>
      </c>
      <c r="B12" s="4">
        <v>10</v>
      </c>
      <c r="C12" s="4">
        <v>0.89500000000000002</v>
      </c>
      <c r="D12" s="4"/>
      <c r="E12" s="4"/>
      <c r="F12" s="5"/>
      <c r="G12" s="4">
        <v>0.90700000000000003</v>
      </c>
      <c r="H12" s="4">
        <v>0.92700000000000005</v>
      </c>
      <c r="I12" s="4">
        <v>0.95299999999999996</v>
      </c>
      <c r="J12" s="4">
        <v>0.96</v>
      </c>
      <c r="K12" s="5"/>
      <c r="N12" s="4"/>
      <c r="O12" s="4"/>
      <c r="P12" s="4"/>
    </row>
    <row r="13" spans="1:16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N13" s="4"/>
      <c r="O13" s="4"/>
      <c r="P13" s="4"/>
    </row>
    <row r="14" spans="1:16" x14ac:dyDescent="0.2">
      <c r="A14" s="3">
        <v>1</v>
      </c>
      <c r="B14" s="4">
        <v>20</v>
      </c>
      <c r="C14" s="4">
        <v>0.93799999999999994</v>
      </c>
      <c r="D14" s="4"/>
      <c r="E14" s="4"/>
      <c r="F14" s="4"/>
      <c r="G14" s="4">
        <v>0.90700000000000003</v>
      </c>
      <c r="H14" s="4">
        <v>0.93899999999999995</v>
      </c>
      <c r="I14" s="4">
        <v>0.99099999999999999</v>
      </c>
      <c r="J14" s="4">
        <v>1.0029999999999999</v>
      </c>
      <c r="K14" s="4"/>
      <c r="N14" s="4"/>
      <c r="O14" s="4"/>
      <c r="P14" s="4"/>
    </row>
    <row r="15" spans="1:16" x14ac:dyDescent="0.2">
      <c r="A15" s="3">
        <v>2</v>
      </c>
      <c r="B15" s="4">
        <v>20</v>
      </c>
      <c r="C15" s="4">
        <v>0.94299999999999995</v>
      </c>
      <c r="D15" s="4"/>
      <c r="E15" s="4"/>
      <c r="F15" s="4"/>
      <c r="G15" s="4">
        <v>0.92200000000000004</v>
      </c>
      <c r="H15" s="4">
        <v>0.93899999999999995</v>
      </c>
      <c r="I15" s="4">
        <v>0.98399999999999999</v>
      </c>
      <c r="J15" s="4">
        <v>1.054</v>
      </c>
      <c r="K15" s="4"/>
      <c r="N15" s="4"/>
      <c r="O15" s="4"/>
      <c r="P15" s="4"/>
    </row>
    <row r="16" spans="1:16" x14ac:dyDescent="0.2">
      <c r="A16" s="3">
        <v>3</v>
      </c>
      <c r="B16" s="4">
        <v>20</v>
      </c>
      <c r="C16" s="5">
        <v>0.93200000000000005</v>
      </c>
      <c r="D16" s="4"/>
      <c r="E16" s="5"/>
      <c r="F16" s="4"/>
      <c r="G16" s="4">
        <v>0.94599999999999995</v>
      </c>
      <c r="H16" s="4">
        <v>0.96499999999999997</v>
      </c>
      <c r="I16" s="4">
        <v>0.98399999999999999</v>
      </c>
      <c r="J16" s="4">
        <v>1.0009999999999999</v>
      </c>
      <c r="K16" s="4"/>
      <c r="N16" s="4"/>
      <c r="O16" s="4"/>
      <c r="P16" s="4"/>
    </row>
    <row r="17" spans="1:16" x14ac:dyDescent="0.2">
      <c r="A17" s="3">
        <v>4</v>
      </c>
      <c r="B17" s="4">
        <v>20</v>
      </c>
      <c r="C17" s="4">
        <v>0.96</v>
      </c>
      <c r="D17" s="4"/>
      <c r="E17" s="5"/>
      <c r="F17" s="4"/>
      <c r="G17" s="4">
        <v>0.91500000000000004</v>
      </c>
      <c r="H17" s="4">
        <v>0.92</v>
      </c>
      <c r="I17" s="4">
        <v>1.012</v>
      </c>
      <c r="J17" s="4">
        <v>1.012</v>
      </c>
      <c r="K17" s="4"/>
      <c r="N17" s="4"/>
      <c r="O17" s="4"/>
      <c r="P17" s="4"/>
    </row>
    <row r="18" spans="1:16" x14ac:dyDescent="0.2">
      <c r="A18" s="3">
        <v>5</v>
      </c>
      <c r="B18" s="4">
        <v>20</v>
      </c>
      <c r="C18" s="4">
        <v>0.91800000000000004</v>
      </c>
      <c r="D18" s="4"/>
      <c r="E18" s="4"/>
      <c r="F18" s="4"/>
      <c r="G18" s="4">
        <v>0.93100000000000005</v>
      </c>
      <c r="H18" s="4">
        <v>0.96099999999999997</v>
      </c>
      <c r="I18" s="4">
        <v>1.006</v>
      </c>
      <c r="J18" s="4">
        <v>1</v>
      </c>
      <c r="K18" s="5"/>
      <c r="N18" s="4"/>
      <c r="O18" s="4"/>
      <c r="P18" s="4"/>
    </row>
    <row r="19" spans="1:16" x14ac:dyDescent="0.2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N19" s="4"/>
      <c r="O19" s="4"/>
      <c r="P19" s="4"/>
    </row>
    <row r="20" spans="1:16" x14ac:dyDescent="0.2">
      <c r="A20" s="3">
        <v>1</v>
      </c>
      <c r="B20" s="4">
        <v>30</v>
      </c>
      <c r="C20" s="4">
        <v>0.96099999999999997</v>
      </c>
      <c r="D20" s="4"/>
      <c r="E20" s="5"/>
      <c r="F20" s="4"/>
      <c r="G20" s="4">
        <v>0.92200000000000004</v>
      </c>
      <c r="H20" s="4">
        <v>0.96599999999999997</v>
      </c>
      <c r="I20" s="5">
        <v>1.018</v>
      </c>
      <c r="J20" s="4">
        <v>1.0329999999999999</v>
      </c>
      <c r="K20" s="4"/>
      <c r="N20" s="4"/>
      <c r="O20" s="4"/>
      <c r="P20" s="4"/>
    </row>
    <row r="21" spans="1:16" x14ac:dyDescent="0.2">
      <c r="A21" s="3">
        <v>2</v>
      </c>
      <c r="B21" s="4">
        <v>30</v>
      </c>
      <c r="C21" s="4">
        <v>0.97</v>
      </c>
      <c r="D21" s="4"/>
      <c r="E21" s="4"/>
      <c r="F21" s="4"/>
      <c r="G21" s="4">
        <v>0.96799999999999997</v>
      </c>
      <c r="H21" s="4">
        <v>0.96099999999999997</v>
      </c>
      <c r="I21" s="4">
        <v>1.0209999999999999</v>
      </c>
      <c r="J21" s="4">
        <v>1.1040000000000001</v>
      </c>
      <c r="K21" s="4"/>
      <c r="N21" s="4"/>
      <c r="O21" s="4"/>
      <c r="P21" s="4"/>
    </row>
    <row r="22" spans="1:16" x14ac:dyDescent="0.2">
      <c r="A22" s="3">
        <v>3</v>
      </c>
      <c r="B22" s="4">
        <v>30</v>
      </c>
      <c r="C22" s="4">
        <v>0.95299999999999996</v>
      </c>
      <c r="D22" s="4"/>
      <c r="E22" s="4"/>
      <c r="F22" s="4"/>
      <c r="G22" s="4">
        <v>0.96599999999999997</v>
      </c>
      <c r="H22" s="4">
        <v>0.999</v>
      </c>
      <c r="I22" s="4">
        <v>1.0209999999999999</v>
      </c>
      <c r="J22" s="4">
        <v>1.04</v>
      </c>
      <c r="K22" s="4"/>
      <c r="N22" s="4"/>
      <c r="O22" s="4"/>
      <c r="P22" s="4"/>
    </row>
    <row r="23" spans="1:16" x14ac:dyDescent="0.2">
      <c r="A23" s="3">
        <v>4</v>
      </c>
      <c r="B23" s="4">
        <v>30</v>
      </c>
      <c r="C23" s="4">
        <v>0.98399999999999999</v>
      </c>
      <c r="D23" s="4"/>
      <c r="E23" s="4"/>
      <c r="F23" s="4"/>
      <c r="G23" s="4">
        <v>0.93100000000000005</v>
      </c>
      <c r="H23" s="4">
        <v>0.93700000000000006</v>
      </c>
      <c r="I23" s="4">
        <v>1.0569999999999999</v>
      </c>
      <c r="J23" s="4">
        <v>1.0940000000000001</v>
      </c>
      <c r="K23" s="4"/>
      <c r="N23" s="4"/>
      <c r="O23" s="4"/>
      <c r="P23" s="4"/>
    </row>
    <row r="24" spans="1:16" x14ac:dyDescent="0.2">
      <c r="A24" s="3">
        <v>5</v>
      </c>
      <c r="B24" s="4">
        <v>30</v>
      </c>
      <c r="C24" s="4">
        <v>0.93700000000000006</v>
      </c>
      <c r="D24" s="4"/>
      <c r="E24" s="4"/>
      <c r="F24" s="4"/>
      <c r="G24" s="4">
        <v>0.94299999999999995</v>
      </c>
      <c r="H24" s="4">
        <v>0.98599999999999999</v>
      </c>
      <c r="I24" s="4">
        <v>1.048</v>
      </c>
      <c r="J24" s="4">
        <v>1.022</v>
      </c>
      <c r="K24" s="4"/>
      <c r="N24" s="4"/>
      <c r="O24" s="4"/>
      <c r="P24" s="4"/>
    </row>
    <row r="25" spans="1:16" x14ac:dyDescent="0.2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N25" s="4"/>
      <c r="O25" s="4"/>
      <c r="P25" s="4"/>
    </row>
    <row r="26" spans="1:16" x14ac:dyDescent="0.2">
      <c r="A26" s="3">
        <v>1</v>
      </c>
      <c r="B26" s="4">
        <v>40</v>
      </c>
      <c r="C26" s="4">
        <v>0.97799999999999998</v>
      </c>
      <c r="D26" s="4"/>
      <c r="E26" s="4"/>
      <c r="F26" s="5"/>
      <c r="G26" s="4">
        <v>0.92300000000000004</v>
      </c>
      <c r="H26" s="4">
        <v>0.99099999999999999</v>
      </c>
      <c r="I26" s="4">
        <v>1.0369999999999999</v>
      </c>
      <c r="J26" s="4">
        <v>1.079</v>
      </c>
      <c r="K26" s="4"/>
      <c r="N26" s="4"/>
      <c r="O26" s="4"/>
      <c r="P26" s="4"/>
    </row>
    <row r="27" spans="1:16" x14ac:dyDescent="0.2">
      <c r="A27" s="3">
        <v>2</v>
      </c>
      <c r="B27" s="4">
        <v>40</v>
      </c>
      <c r="C27" s="4">
        <v>0.99</v>
      </c>
      <c r="D27" s="4"/>
      <c r="E27" s="4"/>
      <c r="F27" s="5"/>
      <c r="G27" s="4">
        <v>0.98099999999999998</v>
      </c>
      <c r="H27" s="4">
        <v>0.98299999999999998</v>
      </c>
      <c r="I27" s="4">
        <v>1.0669999999999999</v>
      </c>
      <c r="J27" s="4">
        <v>1.1319999999999999</v>
      </c>
      <c r="K27" s="4"/>
      <c r="N27" s="4"/>
      <c r="O27" s="4"/>
      <c r="P27" s="4"/>
    </row>
    <row r="28" spans="1:16" x14ac:dyDescent="0.2">
      <c r="A28" s="3">
        <v>3</v>
      </c>
      <c r="B28" s="4">
        <v>40</v>
      </c>
      <c r="C28" s="4">
        <v>0.97299999999999998</v>
      </c>
      <c r="D28" s="4"/>
      <c r="E28" s="4"/>
      <c r="F28" s="4"/>
      <c r="G28" s="4">
        <v>0.98699999999999999</v>
      </c>
      <c r="H28" s="4">
        <v>1.028</v>
      </c>
      <c r="I28" s="4">
        <v>1.048</v>
      </c>
      <c r="J28" s="4">
        <v>1.0820000000000001</v>
      </c>
      <c r="K28" s="4"/>
      <c r="N28" s="4"/>
      <c r="O28" s="4"/>
      <c r="P28" s="4"/>
    </row>
    <row r="29" spans="1:16" x14ac:dyDescent="0.2">
      <c r="A29" s="3">
        <v>4</v>
      </c>
      <c r="B29" s="4">
        <v>40</v>
      </c>
      <c r="C29" s="4">
        <v>1.0089999999999999</v>
      </c>
      <c r="D29" s="4"/>
      <c r="E29" s="4"/>
      <c r="F29" s="4"/>
      <c r="G29" s="4">
        <v>0.93899999999999995</v>
      </c>
      <c r="H29" s="4">
        <v>0.94899999999999995</v>
      </c>
      <c r="I29" s="4">
        <v>1.103</v>
      </c>
      <c r="J29" s="4">
        <v>1.1399999999999999</v>
      </c>
      <c r="K29" s="4"/>
      <c r="N29" s="4"/>
      <c r="O29" s="4"/>
      <c r="P29" s="4"/>
    </row>
    <row r="30" spans="1:16" x14ac:dyDescent="0.2">
      <c r="A30" s="3">
        <v>5</v>
      </c>
      <c r="B30" s="4">
        <v>40</v>
      </c>
      <c r="C30" s="4">
        <v>0.96099999999999997</v>
      </c>
      <c r="D30" s="4"/>
      <c r="E30" s="4"/>
      <c r="F30" s="4"/>
      <c r="G30" s="4">
        <v>0.96399999999999997</v>
      </c>
      <c r="H30" s="4">
        <v>1.004</v>
      </c>
      <c r="I30" s="4">
        <v>1.107</v>
      </c>
      <c r="J30" s="4">
        <v>1.0640000000000001</v>
      </c>
      <c r="K30" s="4"/>
      <c r="N30" s="4"/>
      <c r="O30" s="4"/>
      <c r="P30" s="4"/>
    </row>
    <row r="31" spans="1:16" x14ac:dyDescent="0.2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N31" s="4"/>
      <c r="O31" s="4"/>
      <c r="P31" s="4"/>
    </row>
    <row r="32" spans="1:16" x14ac:dyDescent="0.2">
      <c r="A32" s="3">
        <v>1</v>
      </c>
      <c r="B32" s="4">
        <v>50</v>
      </c>
      <c r="C32" s="17">
        <v>1.0109999999999999</v>
      </c>
      <c r="D32" s="4"/>
      <c r="E32" s="4"/>
      <c r="F32" s="4"/>
      <c r="G32" s="4">
        <v>0.92900000000000005</v>
      </c>
      <c r="H32" s="4">
        <v>1.0209999999999999</v>
      </c>
      <c r="I32" s="4">
        <v>1.0609999999999999</v>
      </c>
      <c r="J32" s="4">
        <v>1.109</v>
      </c>
      <c r="K32" s="4"/>
      <c r="N32" s="4"/>
      <c r="O32" s="4"/>
      <c r="P32" s="4"/>
    </row>
    <row r="33" spans="1:16" x14ac:dyDescent="0.2">
      <c r="A33" s="3">
        <v>2</v>
      </c>
      <c r="B33" s="4">
        <v>50</v>
      </c>
      <c r="C33" s="4">
        <v>1.024</v>
      </c>
      <c r="D33" s="4"/>
      <c r="E33" s="4"/>
      <c r="F33" s="4"/>
      <c r="G33" s="4">
        <v>0.996</v>
      </c>
      <c r="H33" s="4">
        <v>1.0049999999999999</v>
      </c>
      <c r="I33" s="4">
        <v>1.1020000000000001</v>
      </c>
      <c r="J33" s="4">
        <v>1.1719999999999999</v>
      </c>
      <c r="K33" s="4"/>
      <c r="N33" s="4"/>
      <c r="O33" s="4"/>
      <c r="P33" s="4"/>
    </row>
    <row r="34" spans="1:16" x14ac:dyDescent="0.2">
      <c r="A34" s="3">
        <v>3</v>
      </c>
      <c r="B34" s="4">
        <v>50</v>
      </c>
      <c r="C34" s="4">
        <v>0.98899999999999999</v>
      </c>
      <c r="D34" s="5"/>
      <c r="E34" s="4"/>
      <c r="F34" s="5"/>
      <c r="G34" s="4">
        <v>1.0149999999999999</v>
      </c>
      <c r="H34" s="4">
        <v>1.0509999999999999</v>
      </c>
      <c r="I34" s="4">
        <v>1.0940000000000001</v>
      </c>
      <c r="J34" s="4">
        <v>1.1299999999999999</v>
      </c>
      <c r="K34" s="4"/>
      <c r="N34" s="4"/>
      <c r="O34" s="4"/>
      <c r="P34" s="4"/>
    </row>
    <row r="35" spans="1:16" x14ac:dyDescent="0.2">
      <c r="A35" s="3">
        <v>4</v>
      </c>
      <c r="B35" s="4">
        <v>50</v>
      </c>
      <c r="C35" s="4">
        <v>1.032</v>
      </c>
      <c r="D35" s="4"/>
      <c r="E35" s="4"/>
      <c r="F35" s="5"/>
      <c r="G35" s="4">
        <v>0.96199999999999997</v>
      </c>
      <c r="H35" s="5">
        <v>0.96099999999999997</v>
      </c>
      <c r="I35" s="4">
        <v>1.139</v>
      </c>
      <c r="J35" s="4">
        <v>1.1910000000000001</v>
      </c>
      <c r="K35" s="4"/>
      <c r="N35" s="4"/>
      <c r="O35" s="4"/>
      <c r="P35" s="4"/>
    </row>
    <row r="36" spans="1:16" x14ac:dyDescent="0.2">
      <c r="A36" s="3">
        <v>5</v>
      </c>
      <c r="B36" s="4">
        <v>50</v>
      </c>
      <c r="C36" s="17">
        <v>0.98299999999999998</v>
      </c>
      <c r="D36" s="4"/>
      <c r="E36" s="4"/>
      <c r="F36" s="4"/>
      <c r="G36" s="4">
        <v>0.98299999999999998</v>
      </c>
      <c r="H36" s="4">
        <v>1.0229999999999999</v>
      </c>
      <c r="I36" s="4">
        <v>1.1459999999999999</v>
      </c>
      <c r="J36" s="4">
        <v>1.099</v>
      </c>
      <c r="K36" s="4"/>
      <c r="N36" s="4"/>
      <c r="O36" s="4"/>
      <c r="P36" s="4"/>
    </row>
    <row r="37" spans="1:16" x14ac:dyDescent="0.2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N37" s="4"/>
      <c r="O37" s="4"/>
      <c r="P37" s="4"/>
    </row>
    <row r="38" spans="1:16" x14ac:dyDescent="0.2">
      <c r="A38" s="3">
        <v>1</v>
      </c>
      <c r="B38" s="4">
        <v>60</v>
      </c>
      <c r="C38" s="17">
        <v>1.0329999999999999</v>
      </c>
      <c r="D38" s="4"/>
      <c r="E38" s="4"/>
      <c r="F38" s="4"/>
      <c r="G38" s="4">
        <v>0.93700000000000006</v>
      </c>
      <c r="H38" s="4">
        <v>1.042</v>
      </c>
      <c r="I38" s="4">
        <v>1.083</v>
      </c>
      <c r="J38" s="4">
        <v>1.1519999999999999</v>
      </c>
      <c r="K38" s="4"/>
      <c r="N38" s="4"/>
      <c r="O38" s="4"/>
      <c r="P38" s="4"/>
    </row>
    <row r="39" spans="1:16" x14ac:dyDescent="0.2">
      <c r="A39" s="3">
        <v>2</v>
      </c>
      <c r="B39" s="4">
        <v>60</v>
      </c>
      <c r="C39" s="17">
        <v>1.0409999999999999</v>
      </c>
      <c r="D39" s="4"/>
      <c r="E39" s="4"/>
      <c r="F39" s="4"/>
      <c r="G39" s="4">
        <v>1.0149999999999999</v>
      </c>
      <c r="H39" s="4">
        <v>1.026</v>
      </c>
      <c r="I39" s="4">
        <v>1.129</v>
      </c>
      <c r="J39" s="4">
        <v>1.1259999999999999</v>
      </c>
      <c r="K39" s="4"/>
      <c r="N39" s="4"/>
      <c r="O39" s="4"/>
      <c r="P39" s="4"/>
    </row>
    <row r="40" spans="1:16" x14ac:dyDescent="0.2">
      <c r="A40" s="3">
        <v>3</v>
      </c>
      <c r="B40" s="4">
        <v>60</v>
      </c>
      <c r="C40" s="4">
        <v>1.012</v>
      </c>
      <c r="D40" s="4"/>
      <c r="E40" s="4"/>
      <c r="F40" s="4"/>
      <c r="G40" s="4">
        <v>1.042</v>
      </c>
      <c r="H40" s="4">
        <v>1.0720000000000001</v>
      </c>
      <c r="I40" s="4">
        <v>1.1220000000000001</v>
      </c>
      <c r="J40" s="4">
        <v>1.159</v>
      </c>
      <c r="K40" s="4"/>
      <c r="N40" s="4"/>
      <c r="O40" s="4"/>
      <c r="P40" s="4"/>
    </row>
    <row r="41" spans="1:16" x14ac:dyDescent="0.2">
      <c r="A41" s="3">
        <v>4</v>
      </c>
      <c r="B41" s="4">
        <v>60</v>
      </c>
      <c r="C41" s="17">
        <v>1.0660000000000001</v>
      </c>
      <c r="D41" s="4"/>
      <c r="E41" s="5"/>
      <c r="F41" s="4"/>
      <c r="G41" s="4">
        <v>0.97899999999999998</v>
      </c>
      <c r="H41" s="4">
        <v>0.97899999999999998</v>
      </c>
      <c r="I41" s="5">
        <v>1.1819999999999999</v>
      </c>
      <c r="J41" s="4">
        <v>1.216</v>
      </c>
      <c r="K41" s="4"/>
      <c r="N41" s="4"/>
      <c r="O41" s="4"/>
      <c r="P41" s="4"/>
    </row>
    <row r="42" spans="1:16" x14ac:dyDescent="0.2">
      <c r="A42" s="3">
        <v>5</v>
      </c>
      <c r="B42" s="4">
        <v>60</v>
      </c>
      <c r="C42" s="17">
        <v>1.0129999999999999</v>
      </c>
      <c r="D42" s="4"/>
      <c r="E42" s="4"/>
      <c r="F42" s="4"/>
      <c r="G42" s="4">
        <v>1.008</v>
      </c>
      <c r="H42" s="4">
        <v>1.04</v>
      </c>
      <c r="I42" s="5">
        <v>1.1919999999999999</v>
      </c>
      <c r="J42" s="4">
        <v>1.149</v>
      </c>
      <c r="K42" s="4"/>
      <c r="N42" s="4"/>
      <c r="O42" s="4"/>
      <c r="P42" s="4"/>
    </row>
    <row r="43" spans="1:16" x14ac:dyDescent="0.2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N43" s="4"/>
      <c r="O43" s="4"/>
      <c r="P43" s="4"/>
    </row>
    <row r="44" spans="1:16" x14ac:dyDescent="0.2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">
      <c r="A45" s="31" t="s">
        <v>10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ht="51" x14ac:dyDescent="0.2">
      <c r="A46" s="1" t="s">
        <v>0</v>
      </c>
      <c r="B46" s="2" t="s">
        <v>1</v>
      </c>
      <c r="C46" s="2" t="s">
        <v>2</v>
      </c>
      <c r="D46" s="2" t="s">
        <v>3</v>
      </c>
      <c r="E46" s="2" t="s">
        <v>4</v>
      </c>
      <c r="F46" s="2"/>
      <c r="G46" s="2" t="s">
        <v>6</v>
      </c>
      <c r="H46" s="2" t="s">
        <v>7</v>
      </c>
      <c r="I46" s="2" t="s">
        <v>8</v>
      </c>
      <c r="J46" s="2" t="s">
        <v>9</v>
      </c>
      <c r="K46" s="2"/>
      <c r="N46" s="2"/>
      <c r="O46" s="2"/>
      <c r="P46" s="2"/>
    </row>
    <row r="47" spans="1:16" x14ac:dyDescent="0.2">
      <c r="A47" s="3">
        <v>1</v>
      </c>
      <c r="B47" s="4">
        <v>0</v>
      </c>
      <c r="C47" s="6">
        <f t="shared" ref="C47:E51" si="0" xml:space="preserve"> (C2-C2)/14.52</f>
        <v>0</v>
      </c>
      <c r="D47" s="6">
        <f t="shared" si="0"/>
        <v>0</v>
      </c>
      <c r="E47" s="6">
        <f t="shared" si="0"/>
        <v>0</v>
      </c>
      <c r="F47" s="6"/>
      <c r="G47" s="6">
        <f t="shared" ref="G47:H47" si="1" xml:space="preserve"> (G2-G2)/14.52</f>
        <v>0</v>
      </c>
      <c r="H47" s="6">
        <f t="shared" si="1"/>
        <v>0</v>
      </c>
      <c r="I47" s="6">
        <f t="shared" ref="I47:J47" si="2" xml:space="preserve"> (I2-I2)/14.52</f>
        <v>0</v>
      </c>
      <c r="J47" s="6">
        <f t="shared" si="2"/>
        <v>0</v>
      </c>
      <c r="K47" s="6"/>
      <c r="L47" s="6"/>
      <c r="M47" s="6"/>
      <c r="N47" s="6"/>
      <c r="O47" s="6"/>
      <c r="P47" s="6"/>
    </row>
    <row r="48" spans="1:16" x14ac:dyDescent="0.2">
      <c r="A48" s="3">
        <v>2</v>
      </c>
      <c r="B48" s="4">
        <v>0</v>
      </c>
      <c r="C48" s="6">
        <f t="shared" si="0"/>
        <v>0</v>
      </c>
      <c r="D48" s="6">
        <f t="shared" si="0"/>
        <v>0</v>
      </c>
      <c r="E48" s="6">
        <f t="shared" si="0"/>
        <v>0</v>
      </c>
      <c r="F48" s="6"/>
      <c r="G48" s="6">
        <f t="shared" ref="G48:H48" si="3" xml:space="preserve"> (G3-G3)/14.52</f>
        <v>0</v>
      </c>
      <c r="H48" s="6">
        <f t="shared" si="3"/>
        <v>0</v>
      </c>
      <c r="I48" s="6">
        <f t="shared" ref="I48:J48" si="4" xml:space="preserve"> (I3-I3)/14.52</f>
        <v>0</v>
      </c>
      <c r="J48" s="6">
        <f t="shared" si="4"/>
        <v>0</v>
      </c>
      <c r="K48" s="6"/>
      <c r="L48" s="6"/>
      <c r="M48" s="6"/>
      <c r="N48" s="6"/>
      <c r="O48" s="6"/>
      <c r="P48" s="6"/>
    </row>
    <row r="49" spans="1:16" x14ac:dyDescent="0.2">
      <c r="A49" s="3">
        <v>3</v>
      </c>
      <c r="B49" s="4">
        <v>0</v>
      </c>
      <c r="C49" s="6">
        <f t="shared" si="0"/>
        <v>0</v>
      </c>
      <c r="D49" s="6">
        <f t="shared" si="0"/>
        <v>0</v>
      </c>
      <c r="E49" s="6">
        <f t="shared" si="0"/>
        <v>0</v>
      </c>
      <c r="F49" s="6"/>
      <c r="G49" s="6">
        <f t="shared" ref="G49:H49" si="5" xml:space="preserve"> (G4-G4)/14.52</f>
        <v>0</v>
      </c>
      <c r="H49" s="6">
        <f t="shared" si="5"/>
        <v>0</v>
      </c>
      <c r="I49" s="6">
        <f t="shared" ref="I49:J49" si="6" xml:space="preserve"> (I4-I4)/14.52</f>
        <v>0</v>
      </c>
      <c r="J49" s="6">
        <f t="shared" si="6"/>
        <v>0</v>
      </c>
      <c r="K49" s="6"/>
      <c r="L49" s="6"/>
      <c r="M49" s="6"/>
      <c r="N49" s="6"/>
      <c r="O49" s="6"/>
      <c r="P49" s="6"/>
    </row>
    <row r="50" spans="1:16" x14ac:dyDescent="0.2">
      <c r="A50" s="3">
        <v>4</v>
      </c>
      <c r="B50" s="4">
        <v>0</v>
      </c>
      <c r="C50" s="6">
        <f t="shared" si="0"/>
        <v>0</v>
      </c>
      <c r="D50" s="6">
        <f t="shared" si="0"/>
        <v>0</v>
      </c>
      <c r="E50" s="6">
        <f t="shared" si="0"/>
        <v>0</v>
      </c>
      <c r="F50" s="6"/>
      <c r="G50" s="6">
        <f t="shared" ref="G50:H50" si="7" xml:space="preserve"> (G5-G5)/14.52</f>
        <v>0</v>
      </c>
      <c r="H50" s="6">
        <f t="shared" si="7"/>
        <v>0</v>
      </c>
      <c r="I50" s="6">
        <f t="shared" ref="I50:J50" si="8" xml:space="preserve"> (I5-I5)/14.52</f>
        <v>0</v>
      </c>
      <c r="J50" s="6">
        <f t="shared" si="8"/>
        <v>0</v>
      </c>
      <c r="K50" s="6"/>
      <c r="L50" s="6"/>
      <c r="M50" s="6"/>
      <c r="N50" s="6"/>
      <c r="O50" s="6"/>
      <c r="P50" s="6"/>
    </row>
    <row r="51" spans="1:16" x14ac:dyDescent="0.2">
      <c r="A51" s="3">
        <v>5</v>
      </c>
      <c r="B51" s="4">
        <v>0</v>
      </c>
      <c r="C51" s="6">
        <f t="shared" si="0"/>
        <v>0</v>
      </c>
      <c r="D51" s="6">
        <f t="shared" si="0"/>
        <v>0</v>
      </c>
      <c r="E51" s="6">
        <f t="shared" si="0"/>
        <v>0</v>
      </c>
      <c r="F51" s="6"/>
      <c r="G51" s="6">
        <f t="shared" ref="G51:H51" si="9" xml:space="preserve"> (G6-G6)/14.52</f>
        <v>0</v>
      </c>
      <c r="H51" s="6">
        <f t="shared" si="9"/>
        <v>0</v>
      </c>
      <c r="I51" s="6">
        <f t="shared" ref="I51:J51" si="10" xml:space="preserve"> (I6-I6)/14.52</f>
        <v>0</v>
      </c>
      <c r="J51" s="6">
        <f t="shared" si="10"/>
        <v>0</v>
      </c>
      <c r="K51" s="6"/>
      <c r="L51" s="6"/>
      <c r="M51" s="6"/>
      <c r="N51" s="6"/>
      <c r="O51" s="6"/>
      <c r="P51" s="6"/>
    </row>
    <row r="52" spans="1:16" x14ac:dyDescent="0.2">
      <c r="A52" s="3"/>
      <c r="B52" s="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">
      <c r="A53" s="3">
        <v>1</v>
      </c>
      <c r="B53" s="4">
        <v>10</v>
      </c>
      <c r="C53" s="6">
        <f t="shared" ref="C53:E57" si="11" xml:space="preserve"> (C8-C2)/14.52</f>
        <v>4.8898071625344394E-3</v>
      </c>
      <c r="D53" s="6">
        <f t="shared" si="11"/>
        <v>0</v>
      </c>
      <c r="E53" s="6">
        <f t="shared" si="11"/>
        <v>0</v>
      </c>
      <c r="F53" s="6"/>
      <c r="G53" s="6">
        <f t="shared" ref="G53:H53" si="12" xml:space="preserve"> (G8-G2)/14.52</f>
        <v>4.2011019283746598E-3</v>
      </c>
      <c r="H53" s="6">
        <f t="shared" si="12"/>
        <v>4.5454545454545496E-3</v>
      </c>
      <c r="I53" s="6">
        <f t="shared" ref="I53:J53" si="13" xml:space="preserve"> (I8-I2)/14.52</f>
        <v>6.9559228650137731E-3</v>
      </c>
      <c r="J53" s="6">
        <f t="shared" si="13"/>
        <v>7.7134986225895312E-3</v>
      </c>
      <c r="K53" s="6"/>
      <c r="L53" s="6"/>
      <c r="M53" s="6"/>
      <c r="N53" s="6"/>
      <c r="O53" s="6"/>
      <c r="P53" s="6"/>
    </row>
    <row r="54" spans="1:16" x14ac:dyDescent="0.2">
      <c r="A54" s="3">
        <v>2</v>
      </c>
      <c r="B54" s="4">
        <v>10</v>
      </c>
      <c r="C54" s="6">
        <f t="shared" si="11"/>
        <v>4.476584022038572E-3</v>
      </c>
      <c r="D54" s="6">
        <f t="shared" si="11"/>
        <v>0</v>
      </c>
      <c r="E54" s="6">
        <f t="shared" si="11"/>
        <v>0</v>
      </c>
      <c r="F54" s="6"/>
      <c r="G54" s="6">
        <f t="shared" ref="G54:H54" si="14" xml:space="preserve"> (G9-G3)/14.52</f>
        <v>4.3388429752066159E-3</v>
      </c>
      <c r="H54" s="6">
        <f t="shared" si="14"/>
        <v>5.4407713498622638E-3</v>
      </c>
      <c r="I54" s="6">
        <f t="shared" ref="I54:J54" si="15" xml:space="preserve"> (I9-I3)/14.52</f>
        <v>7.8512396694214864E-3</v>
      </c>
      <c r="J54" s="6">
        <f t="shared" si="15"/>
        <v>1.0674931129476586E-2</v>
      </c>
      <c r="K54" s="6"/>
      <c r="L54" s="6"/>
      <c r="M54" s="6"/>
      <c r="N54" s="6"/>
      <c r="O54" s="6"/>
      <c r="P54" s="6"/>
    </row>
    <row r="55" spans="1:16" x14ac:dyDescent="0.2">
      <c r="A55" s="3">
        <v>3</v>
      </c>
      <c r="B55" s="4">
        <v>10</v>
      </c>
      <c r="C55" s="6">
        <f t="shared" si="11"/>
        <v>4.6143250688705281E-3</v>
      </c>
      <c r="D55" s="6">
        <f t="shared" si="11"/>
        <v>0</v>
      </c>
      <c r="E55" s="6">
        <f t="shared" si="11"/>
        <v>0</v>
      </c>
      <c r="F55" s="6"/>
      <c r="G55" s="6">
        <f t="shared" ref="G55:H55" si="16" xml:space="preserve"> (G10-G4)/14.52</f>
        <v>4.6143250688705281E-3</v>
      </c>
      <c r="H55" s="6">
        <f t="shared" si="16"/>
        <v>6.336088154269978E-3</v>
      </c>
      <c r="I55" s="6">
        <f t="shared" ref="I55:J55" si="17" xml:space="preserve"> (I10-I4)/14.52</f>
        <v>7.6446280991735527E-3</v>
      </c>
      <c r="J55" s="6">
        <f t="shared" si="17"/>
        <v>8.677685950413223E-3</v>
      </c>
      <c r="K55" s="6"/>
      <c r="L55" s="6"/>
      <c r="M55" s="6"/>
      <c r="N55" s="6"/>
      <c r="O55" s="6"/>
      <c r="P55" s="6"/>
    </row>
    <row r="56" spans="1:16" x14ac:dyDescent="0.2">
      <c r="A56" s="3">
        <v>4</v>
      </c>
      <c r="B56" s="4">
        <v>10</v>
      </c>
      <c r="C56" s="6">
        <f t="shared" si="11"/>
        <v>5.1652892561983516E-3</v>
      </c>
      <c r="D56" s="6">
        <f t="shared" si="11"/>
        <v>0</v>
      </c>
      <c r="E56" s="6">
        <f t="shared" si="11"/>
        <v>0</v>
      </c>
      <c r="F56" s="6"/>
      <c r="G56" s="6">
        <f t="shared" ref="G56:H56" si="18" xml:space="preserve"> (G11-G5)/14.52</f>
        <v>4.3388429752066159E-3</v>
      </c>
      <c r="H56" s="6">
        <f t="shared" si="18"/>
        <v>5.3719008264462862E-3</v>
      </c>
      <c r="I56" s="6">
        <f t="shared" ref="I56:J56" si="19" xml:space="preserve"> (I11-I5)/14.52</f>
        <v>8.8842975206611576E-3</v>
      </c>
      <c r="J56" s="6">
        <f t="shared" si="19"/>
        <v>9.7796143250688718E-3</v>
      </c>
      <c r="K56" s="6"/>
      <c r="L56" s="6"/>
      <c r="M56" s="6"/>
      <c r="N56" s="6"/>
      <c r="O56" s="6"/>
      <c r="P56" s="6"/>
    </row>
    <row r="57" spans="1:16" x14ac:dyDescent="0.2">
      <c r="A57" s="3">
        <v>5</v>
      </c>
      <c r="B57" s="4">
        <v>10</v>
      </c>
      <c r="C57" s="6">
        <f t="shared" si="11"/>
        <v>4.8898071625344394E-3</v>
      </c>
      <c r="D57" s="6">
        <f t="shared" si="11"/>
        <v>0</v>
      </c>
      <c r="E57" s="6">
        <f t="shared" si="11"/>
        <v>0</v>
      </c>
      <c r="F57" s="6"/>
      <c r="G57" s="6">
        <f t="shared" ref="G57:H57" si="20" xml:space="preserve"> (G12-G6)/14.52</f>
        <v>3.5812672176308573E-3</v>
      </c>
      <c r="H57" s="6">
        <f t="shared" si="20"/>
        <v>6.0606060606060658E-3</v>
      </c>
      <c r="I57" s="6">
        <f t="shared" ref="I57:J57" si="21" xml:space="preserve"> (I12-I6)/14.52</f>
        <v>8.9531680440771352E-3</v>
      </c>
      <c r="J57" s="6">
        <f t="shared" si="21"/>
        <v>8.4022038567493108E-3</v>
      </c>
      <c r="K57" s="6"/>
      <c r="L57" s="6"/>
      <c r="M57" s="6"/>
      <c r="N57" s="6"/>
      <c r="O57" s="6"/>
      <c r="P57" s="6"/>
    </row>
    <row r="58" spans="1:16" x14ac:dyDescent="0.2">
      <c r="A58" s="3"/>
      <c r="B58" s="4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">
      <c r="A59" s="3">
        <v>1</v>
      </c>
      <c r="B59" s="4">
        <v>20</v>
      </c>
      <c r="C59" s="6">
        <f t="shared" ref="C59:E63" si="22" xml:space="preserve"> (C14-C2)/14.52</f>
        <v>7.0936639118457292E-3</v>
      </c>
      <c r="D59" s="6">
        <f t="shared" si="22"/>
        <v>0</v>
      </c>
      <c r="E59" s="6">
        <f t="shared" si="22"/>
        <v>0</v>
      </c>
      <c r="F59" s="6"/>
      <c r="G59" s="6">
        <f t="shared" ref="G59:H59" si="23" xml:space="preserve"> (G14-G2)/14.52</f>
        <v>5.1652892561983516E-3</v>
      </c>
      <c r="H59" s="6">
        <f t="shared" si="23"/>
        <v>6.5426997245179048E-3</v>
      </c>
      <c r="I59" s="6">
        <f t="shared" ref="I59:J59" si="24" xml:space="preserve"> (I14-I2)/14.52</f>
        <v>9.8484848484848495E-3</v>
      </c>
      <c r="J59" s="6">
        <f t="shared" si="24"/>
        <v>1.1294765840220381E-2</v>
      </c>
      <c r="K59" s="6"/>
      <c r="L59" s="6"/>
      <c r="M59" s="6"/>
      <c r="N59" s="6"/>
      <c r="O59" s="6"/>
      <c r="P59" s="6"/>
    </row>
    <row r="60" spans="1:16" x14ac:dyDescent="0.2">
      <c r="A60" s="3">
        <v>2</v>
      </c>
      <c r="B60" s="4">
        <v>20</v>
      </c>
      <c r="C60" s="6">
        <f t="shared" si="22"/>
        <v>6.6115702479338824E-3</v>
      </c>
      <c r="D60" s="6">
        <f t="shared" si="22"/>
        <v>0</v>
      </c>
      <c r="E60" s="6">
        <f t="shared" si="22"/>
        <v>0</v>
      </c>
      <c r="F60" s="6"/>
      <c r="G60" s="6">
        <f t="shared" ref="G60:H60" si="25" xml:space="preserve"> (G15-G3)/14.52</f>
        <v>5.9228650137741097E-3</v>
      </c>
      <c r="H60" s="6">
        <f t="shared" si="25"/>
        <v>7.0247933884297507E-3</v>
      </c>
      <c r="I60" s="6">
        <f t="shared" ref="I60:J60" si="26" xml:space="preserve"> (I15-I3)/14.52</f>
        <v>1.0537190082644631E-2</v>
      </c>
      <c r="J60" s="6">
        <f t="shared" si="26"/>
        <v>1.43939393939394E-2</v>
      </c>
      <c r="K60" s="6"/>
      <c r="L60" s="6"/>
      <c r="M60" s="6"/>
      <c r="N60" s="6"/>
      <c r="O60" s="6"/>
      <c r="P60" s="6"/>
    </row>
    <row r="61" spans="1:16" x14ac:dyDescent="0.2">
      <c r="A61" s="3">
        <v>3</v>
      </c>
      <c r="B61" s="4">
        <v>20</v>
      </c>
      <c r="C61" s="6">
        <f t="shared" si="22"/>
        <v>6.5426997245179126E-3</v>
      </c>
      <c r="D61" s="6">
        <f t="shared" si="22"/>
        <v>0</v>
      </c>
      <c r="E61" s="6">
        <f t="shared" si="22"/>
        <v>0</v>
      </c>
      <c r="F61" s="6"/>
      <c r="G61" s="6">
        <f t="shared" ref="G61:H61" si="27" xml:space="preserve"> (G16-G4)/14.52</f>
        <v>6.4738292011019263E-3</v>
      </c>
      <c r="H61" s="6">
        <f t="shared" si="27"/>
        <v>9.2286501377410474E-3</v>
      </c>
      <c r="I61" s="6">
        <f t="shared" ref="I61:J61" si="28" xml:space="preserve"> (I16-I4)/14.52</f>
        <v>1.0606060606060608E-2</v>
      </c>
      <c r="J61" s="6">
        <f t="shared" si="28"/>
        <v>1.1845730027548206E-2</v>
      </c>
      <c r="K61" s="6"/>
      <c r="L61" s="6"/>
      <c r="M61" s="6"/>
      <c r="N61" s="6"/>
      <c r="O61" s="6"/>
      <c r="P61" s="6"/>
    </row>
    <row r="62" spans="1:16" x14ac:dyDescent="0.2">
      <c r="A62" s="3">
        <v>4</v>
      </c>
      <c r="B62" s="4">
        <v>20</v>
      </c>
      <c r="C62" s="6">
        <f t="shared" si="22"/>
        <v>6.9559228650137731E-3</v>
      </c>
      <c r="D62" s="6">
        <f t="shared" si="22"/>
        <v>0</v>
      </c>
      <c r="E62" s="6">
        <f t="shared" si="22"/>
        <v>0</v>
      </c>
      <c r="F62" s="6"/>
      <c r="G62" s="6">
        <f t="shared" ref="G62:H62" si="29" xml:space="preserve"> (G17-G5)/14.52</f>
        <v>5.6473829201101984E-3</v>
      </c>
      <c r="H62" s="6">
        <f t="shared" si="29"/>
        <v>6.8870523415978024E-3</v>
      </c>
      <c r="I62" s="6">
        <f t="shared" ref="I62:J62" si="30" xml:space="preserve"> (I17-I5)/14.52</f>
        <v>1.2052341597796147E-2</v>
      </c>
      <c r="J62" s="6">
        <f t="shared" si="30"/>
        <v>1.2396694214876037E-2</v>
      </c>
      <c r="K62" s="6"/>
      <c r="L62" s="6"/>
      <c r="M62" s="6"/>
      <c r="N62" s="6"/>
      <c r="O62" s="6"/>
      <c r="P62" s="6"/>
    </row>
    <row r="63" spans="1:16" x14ac:dyDescent="0.2">
      <c r="A63" s="3">
        <v>5</v>
      </c>
      <c r="B63" s="4">
        <v>20</v>
      </c>
      <c r="C63" s="6">
        <f t="shared" si="22"/>
        <v>6.4738292011019341E-3</v>
      </c>
      <c r="D63" s="6">
        <f t="shared" si="22"/>
        <v>0</v>
      </c>
      <c r="E63" s="6">
        <f t="shared" si="22"/>
        <v>0</v>
      </c>
      <c r="F63" s="6"/>
      <c r="G63" s="6">
        <f t="shared" ref="G63:H63" si="31" xml:space="preserve"> (G18-G6)/14.52</f>
        <v>5.2341597796143301E-3</v>
      </c>
      <c r="H63" s="6">
        <f t="shared" si="31"/>
        <v>8.4022038567493108E-3</v>
      </c>
      <c r="I63" s="6">
        <f t="shared" ref="I63:J63" si="32" xml:space="preserve"> (I18-I6)/14.52</f>
        <v>1.2603305785123971E-2</v>
      </c>
      <c r="J63" s="6">
        <f t="shared" si="32"/>
        <v>1.1157024793388433E-2</v>
      </c>
      <c r="K63" s="6"/>
      <c r="L63" s="6"/>
      <c r="M63" s="6"/>
      <c r="N63" s="6"/>
      <c r="O63" s="6"/>
      <c r="P63" s="6"/>
    </row>
    <row r="64" spans="1:16" x14ac:dyDescent="0.2">
      <c r="A64" s="3"/>
      <c r="B64" s="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">
      <c r="A65" s="3">
        <v>1</v>
      </c>
      <c r="B65" s="4">
        <v>30</v>
      </c>
      <c r="C65" s="6">
        <f t="shared" ref="C65:E69" si="33" xml:space="preserve"> (C20-C2)/14.52</f>
        <v>8.677685950413223E-3</v>
      </c>
      <c r="D65" s="6">
        <f t="shared" si="33"/>
        <v>0</v>
      </c>
      <c r="E65" s="6">
        <f t="shared" si="33"/>
        <v>0</v>
      </c>
      <c r="F65" s="6"/>
      <c r="G65" s="6">
        <f t="shared" ref="G65:H65" si="34" xml:space="preserve"> (G20-G2)/14.52</f>
        <v>6.1983471074380219E-3</v>
      </c>
      <c r="H65" s="6">
        <f t="shared" si="34"/>
        <v>8.4022038567493108E-3</v>
      </c>
      <c r="I65" s="6">
        <f t="shared" ref="I65:J65" si="35" xml:space="preserve"> (I20-I2)/14.52</f>
        <v>1.1707988980716257E-2</v>
      </c>
      <c r="J65" s="6">
        <f t="shared" si="35"/>
        <v>1.3360881542699722E-2</v>
      </c>
      <c r="K65" s="6"/>
      <c r="L65" s="6"/>
      <c r="M65" s="6"/>
      <c r="N65" s="6"/>
      <c r="O65" s="6"/>
      <c r="P65" s="6"/>
    </row>
    <row r="66" spans="1:16" x14ac:dyDescent="0.2">
      <c r="A66" s="3">
        <v>2</v>
      </c>
      <c r="B66" s="4">
        <v>30</v>
      </c>
      <c r="C66" s="6">
        <f t="shared" si="33"/>
        <v>8.4710743801652902E-3</v>
      </c>
      <c r="D66" s="6">
        <f t="shared" si="33"/>
        <v>0</v>
      </c>
      <c r="E66" s="6">
        <f t="shared" si="33"/>
        <v>0</v>
      </c>
      <c r="F66" s="6"/>
      <c r="G66" s="6">
        <f t="shared" ref="G66:H66" si="36" xml:space="preserve"> (G21-G3)/14.52</f>
        <v>9.0909090909090922E-3</v>
      </c>
      <c r="H66" s="6">
        <f t="shared" si="36"/>
        <v>8.5399449035812678E-3</v>
      </c>
      <c r="I66" s="6">
        <f t="shared" ref="I66:J66" si="37" xml:space="preserve"> (I21-I3)/14.52</f>
        <v>1.308539944903581E-2</v>
      </c>
      <c r="J66" s="6">
        <f t="shared" si="37"/>
        <v>1.7837465564738302E-2</v>
      </c>
      <c r="K66" s="6"/>
      <c r="L66" s="6"/>
      <c r="M66" s="6"/>
      <c r="N66" s="6"/>
      <c r="O66" s="6"/>
      <c r="P66" s="6"/>
    </row>
    <row r="67" spans="1:16" x14ac:dyDescent="0.2">
      <c r="A67" s="3">
        <v>3</v>
      </c>
      <c r="B67" s="4">
        <v>30</v>
      </c>
      <c r="C67" s="6">
        <f t="shared" si="33"/>
        <v>7.9889807162534434E-3</v>
      </c>
      <c r="D67" s="6">
        <f t="shared" si="33"/>
        <v>0</v>
      </c>
      <c r="E67" s="6">
        <f t="shared" si="33"/>
        <v>0</v>
      </c>
      <c r="F67" s="6"/>
      <c r="G67" s="6">
        <f t="shared" ref="G67:H67" si="38" xml:space="preserve"> (G22-G4)/14.52</f>
        <v>7.8512396694214864E-3</v>
      </c>
      <c r="H67" s="6">
        <f t="shared" si="38"/>
        <v>1.15702479338843E-2</v>
      </c>
      <c r="I67" s="6">
        <f t="shared" ref="I67:J67" si="39" xml:space="preserve"> (I22-I4)/14.52</f>
        <v>1.3154269972451787E-2</v>
      </c>
      <c r="J67" s="6">
        <f t="shared" si="39"/>
        <v>1.4531680440771355E-2</v>
      </c>
      <c r="K67" s="6"/>
      <c r="L67" s="6"/>
      <c r="M67" s="6"/>
      <c r="N67" s="6"/>
      <c r="O67" s="6"/>
      <c r="P67" s="6"/>
    </row>
    <row r="68" spans="1:16" x14ac:dyDescent="0.2">
      <c r="A68" s="3">
        <v>4</v>
      </c>
      <c r="B68" s="4">
        <v>30</v>
      </c>
      <c r="C68" s="6">
        <f t="shared" si="33"/>
        <v>8.6088154269972454E-3</v>
      </c>
      <c r="D68" s="6">
        <f t="shared" si="33"/>
        <v>0</v>
      </c>
      <c r="E68" s="6">
        <f t="shared" si="33"/>
        <v>0</v>
      </c>
      <c r="F68" s="6"/>
      <c r="G68" s="6">
        <f t="shared" ref="G68:H68" si="40" xml:space="preserve"> (G23-G5)/14.52</f>
        <v>6.7493112947658463E-3</v>
      </c>
      <c r="H68" s="6">
        <f t="shared" si="40"/>
        <v>8.0578512396694297E-3</v>
      </c>
      <c r="I68" s="6">
        <f t="shared" ref="I68:J68" si="41" xml:space="preserve"> (I23-I5)/14.52</f>
        <v>1.515151515151515E-2</v>
      </c>
      <c r="J68" s="6">
        <f t="shared" si="41"/>
        <v>1.8044077134986236E-2</v>
      </c>
      <c r="K68" s="6"/>
      <c r="L68" s="6"/>
      <c r="M68" s="6"/>
      <c r="N68" s="6"/>
      <c r="O68" s="6"/>
      <c r="P68" s="6"/>
    </row>
    <row r="69" spans="1:16" x14ac:dyDescent="0.2">
      <c r="A69" s="3">
        <v>5</v>
      </c>
      <c r="B69" s="4">
        <v>30</v>
      </c>
      <c r="C69" s="6">
        <f t="shared" si="33"/>
        <v>7.7823691460055166E-3</v>
      </c>
      <c r="D69" s="6">
        <f t="shared" si="33"/>
        <v>0</v>
      </c>
      <c r="E69" s="6">
        <f t="shared" si="33"/>
        <v>0</v>
      </c>
      <c r="F69" s="6"/>
      <c r="G69" s="6">
        <f t="shared" ref="G69:H69" si="42" xml:space="preserve"> (G24-G6)/14.52</f>
        <v>6.0606060606060589E-3</v>
      </c>
      <c r="H69" s="6">
        <f t="shared" si="42"/>
        <v>1.0123966942148762E-2</v>
      </c>
      <c r="I69" s="6">
        <f t="shared" ref="I69:J69" si="43" xml:space="preserve"> (I24-I6)/14.52</f>
        <v>1.5495867768595049E-2</v>
      </c>
      <c r="J69" s="6">
        <f t="shared" si="43"/>
        <v>1.2672176308539949E-2</v>
      </c>
      <c r="K69" s="6"/>
      <c r="L69" s="6"/>
      <c r="M69" s="6"/>
      <c r="N69" s="6"/>
      <c r="O69" s="6"/>
      <c r="P69" s="6"/>
    </row>
    <row r="70" spans="1:16" x14ac:dyDescent="0.2">
      <c r="A70" s="3"/>
      <c r="B70" s="4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">
      <c r="A71" s="3">
        <v>1</v>
      </c>
      <c r="B71" s="4">
        <v>40</v>
      </c>
      <c r="C71" s="6">
        <f t="shared" ref="C71:E75" si="44" xml:space="preserve"> (C26-C2)/14.52</f>
        <v>9.8484848484848495E-3</v>
      </c>
      <c r="D71" s="6">
        <f t="shared" si="44"/>
        <v>0</v>
      </c>
      <c r="E71" s="6">
        <f t="shared" si="44"/>
        <v>0</v>
      </c>
      <c r="F71" s="6"/>
      <c r="G71" s="6">
        <f t="shared" ref="G71:H71" si="45" xml:space="preserve"> (G26-G2)/14.52</f>
        <v>6.2672176308540004E-3</v>
      </c>
      <c r="H71" s="6">
        <f t="shared" si="45"/>
        <v>1.0123966942148762E-2</v>
      </c>
      <c r="I71" s="6">
        <f t="shared" ref="I71:J71" si="46" xml:space="preserve"> (I26-I2)/14.52</f>
        <v>1.3016528925619832E-2</v>
      </c>
      <c r="J71" s="6">
        <f t="shared" si="46"/>
        <v>1.6528925619834711E-2</v>
      </c>
      <c r="K71" s="6"/>
      <c r="L71" s="6"/>
      <c r="M71" s="6"/>
      <c r="N71" s="6"/>
      <c r="O71" s="6"/>
      <c r="P71" s="6"/>
    </row>
    <row r="72" spans="1:16" x14ac:dyDescent="0.2">
      <c r="A72" s="3">
        <v>2</v>
      </c>
      <c r="B72" s="4">
        <v>40</v>
      </c>
      <c r="C72" s="6">
        <f t="shared" si="44"/>
        <v>9.8484848484848495E-3</v>
      </c>
      <c r="D72" s="6">
        <f t="shared" si="44"/>
        <v>0</v>
      </c>
      <c r="E72" s="6">
        <f t="shared" si="44"/>
        <v>0</v>
      </c>
      <c r="F72" s="6"/>
      <c r="G72" s="6">
        <f t="shared" ref="G72:H72" si="47" xml:space="preserve"> (G27-G3)/14.52</f>
        <v>9.9862258953168064E-3</v>
      </c>
      <c r="H72" s="6">
        <f t="shared" si="47"/>
        <v>1.0055096418732784E-2</v>
      </c>
      <c r="I72" s="6">
        <f t="shared" ref="I72:J72" si="48" xml:space="preserve"> (I27-I3)/14.52</f>
        <v>1.6253443526170797E-2</v>
      </c>
      <c r="J72" s="6">
        <f t="shared" si="48"/>
        <v>1.9765840220385671E-2</v>
      </c>
      <c r="K72" s="6"/>
      <c r="L72" s="6"/>
      <c r="M72" s="6"/>
      <c r="N72" s="6"/>
      <c r="O72" s="6"/>
      <c r="P72" s="6"/>
    </row>
    <row r="73" spans="1:16" x14ac:dyDescent="0.2">
      <c r="A73" s="3">
        <v>3</v>
      </c>
      <c r="B73" s="4">
        <v>40</v>
      </c>
      <c r="C73" s="6">
        <f t="shared" si="44"/>
        <v>9.3663911845730044E-3</v>
      </c>
      <c r="D73" s="6">
        <f t="shared" si="44"/>
        <v>0</v>
      </c>
      <c r="E73" s="6">
        <f t="shared" si="44"/>
        <v>0</v>
      </c>
      <c r="F73" s="6"/>
      <c r="G73" s="6">
        <f t="shared" ref="G73:H73" si="49" xml:space="preserve"> (G28-G4)/14.52</f>
        <v>9.2975206611570251E-3</v>
      </c>
      <c r="H73" s="6">
        <f t="shared" si="49"/>
        <v>1.3567493112947663E-2</v>
      </c>
      <c r="I73" s="6">
        <f t="shared" ref="I73:J73" si="50" xml:space="preserve"> (I28-I4)/14.52</f>
        <v>1.5013774104683202E-2</v>
      </c>
      <c r="J73" s="6">
        <f t="shared" si="50"/>
        <v>1.7424242424242432E-2</v>
      </c>
      <c r="K73" s="6"/>
      <c r="L73" s="6"/>
      <c r="M73" s="6"/>
      <c r="N73" s="6"/>
      <c r="O73" s="6"/>
      <c r="P73" s="6"/>
    </row>
    <row r="74" spans="1:16" x14ac:dyDescent="0.2">
      <c r="A74" s="3">
        <v>4</v>
      </c>
      <c r="B74" s="4">
        <v>40</v>
      </c>
      <c r="C74" s="6">
        <f t="shared" si="44"/>
        <v>1.0330578512396688E-2</v>
      </c>
      <c r="D74" s="6">
        <f t="shared" si="44"/>
        <v>0</v>
      </c>
      <c r="E74" s="6">
        <f t="shared" si="44"/>
        <v>0</v>
      </c>
      <c r="F74" s="6"/>
      <c r="G74" s="6">
        <f t="shared" ref="G74:H74" si="51" xml:space="preserve"> (G29-G5)/14.52</f>
        <v>7.3002754820936629E-3</v>
      </c>
      <c r="H74" s="6">
        <f t="shared" si="51"/>
        <v>8.8842975206611576E-3</v>
      </c>
      <c r="I74" s="6">
        <f t="shared" ref="I74:J74" si="52" xml:space="preserve"> (I29-I5)/14.52</f>
        <v>1.831955922865014E-2</v>
      </c>
      <c r="J74" s="6">
        <f t="shared" si="52"/>
        <v>2.121212121212121E-2</v>
      </c>
      <c r="K74" s="6"/>
      <c r="L74" s="6"/>
      <c r="M74" s="6"/>
      <c r="N74" s="6"/>
      <c r="O74" s="6"/>
      <c r="P74" s="6"/>
    </row>
    <row r="75" spans="1:16" x14ac:dyDescent="0.2">
      <c r="A75" s="3">
        <v>5</v>
      </c>
      <c r="B75" s="4">
        <v>40</v>
      </c>
      <c r="C75" s="6">
        <f t="shared" si="44"/>
        <v>9.435261707988982E-3</v>
      </c>
      <c r="D75" s="6">
        <f t="shared" si="44"/>
        <v>0</v>
      </c>
      <c r="E75" s="6">
        <f t="shared" si="44"/>
        <v>0</v>
      </c>
      <c r="F75" s="6"/>
      <c r="G75" s="6">
        <f t="shared" ref="G75:H75" si="53" xml:space="preserve"> (G30-G6)/14.52</f>
        <v>7.5068870523415966E-3</v>
      </c>
      <c r="H75" s="6">
        <f t="shared" si="53"/>
        <v>1.1363636363636366E-2</v>
      </c>
      <c r="I75" s="6">
        <f t="shared" ref="I75:J75" si="54" xml:space="preserve"> (I30-I6)/14.52</f>
        <v>1.9559228650137744E-2</v>
      </c>
      <c r="J75" s="6">
        <f t="shared" si="54"/>
        <v>1.5564738292011026E-2</v>
      </c>
      <c r="K75" s="6"/>
      <c r="L75" s="6"/>
      <c r="M75" s="6"/>
      <c r="N75" s="6"/>
      <c r="O75" s="6"/>
      <c r="P75" s="6"/>
    </row>
    <row r="76" spans="1:16" x14ac:dyDescent="0.2">
      <c r="A76" s="3"/>
      <c r="B76" s="4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">
      <c r="A77" s="3">
        <v>1</v>
      </c>
      <c r="B77" s="4">
        <v>50</v>
      </c>
      <c r="C77" s="6">
        <f t="shared" ref="C77:E81" si="55" xml:space="preserve"> (C32-C2)/14.52</f>
        <v>1.2121212121212118E-2</v>
      </c>
      <c r="D77" s="6">
        <f t="shared" si="55"/>
        <v>0</v>
      </c>
      <c r="E77" s="6">
        <f t="shared" si="55"/>
        <v>0</v>
      </c>
      <c r="F77" s="6"/>
      <c r="G77" s="6">
        <f t="shared" ref="G77:H77" si="56" xml:space="preserve"> (G32-G2)/14.52</f>
        <v>6.6804407713498687E-3</v>
      </c>
      <c r="H77" s="6">
        <f t="shared" si="56"/>
        <v>1.2190082644628095E-2</v>
      </c>
      <c r="I77" s="6">
        <f t="shared" ref="I77:J77" si="57" xml:space="preserve"> (I32-I2)/14.52</f>
        <v>1.4669421487603303E-2</v>
      </c>
      <c r="J77" s="6">
        <f t="shared" si="57"/>
        <v>1.859504132231405E-2</v>
      </c>
      <c r="K77" s="6"/>
      <c r="L77" s="6"/>
      <c r="M77" s="6"/>
      <c r="N77" s="6"/>
      <c r="O77" s="6"/>
      <c r="P77" s="6"/>
    </row>
    <row r="78" spans="1:16" x14ac:dyDescent="0.2">
      <c r="A78" s="3">
        <v>2</v>
      </c>
      <c r="B78" s="4">
        <v>50</v>
      </c>
      <c r="C78" s="6">
        <f t="shared" si="55"/>
        <v>1.2190082644628102E-2</v>
      </c>
      <c r="D78" s="6">
        <f t="shared" si="55"/>
        <v>0</v>
      </c>
      <c r="E78" s="6">
        <f t="shared" si="55"/>
        <v>0</v>
      </c>
      <c r="F78" s="6"/>
      <c r="G78" s="6">
        <f t="shared" ref="G78:H78" si="58" xml:space="preserve"> (G33-G3)/14.52</f>
        <v>1.1019283746556476E-2</v>
      </c>
      <c r="H78" s="6">
        <f t="shared" si="58"/>
        <v>1.1570247933884293E-2</v>
      </c>
      <c r="I78" s="6">
        <f t="shared" ref="I78:J78" si="59" xml:space="preserve"> (I33-I3)/14.52</f>
        <v>1.8663911845730036E-2</v>
      </c>
      <c r="J78" s="6">
        <f t="shared" si="59"/>
        <v>2.252066115702479E-2</v>
      </c>
      <c r="K78" s="6"/>
      <c r="L78" s="6"/>
      <c r="M78" s="6"/>
      <c r="N78" s="6"/>
      <c r="O78" s="6"/>
      <c r="P78" s="6"/>
    </row>
    <row r="79" spans="1:16" x14ac:dyDescent="0.2">
      <c r="A79" s="3">
        <v>3</v>
      </c>
      <c r="B79" s="4">
        <v>50</v>
      </c>
      <c r="C79" s="6">
        <f t="shared" si="55"/>
        <v>1.0468319559228651E-2</v>
      </c>
      <c r="D79" s="6">
        <f t="shared" si="55"/>
        <v>0</v>
      </c>
      <c r="E79" s="6">
        <f t="shared" si="55"/>
        <v>0</v>
      </c>
      <c r="F79" s="6"/>
      <c r="G79" s="6">
        <f t="shared" ref="G79:H79" si="60" xml:space="preserve"> (G34-G4)/14.52</f>
        <v>1.1225895316804404E-2</v>
      </c>
      <c r="H79" s="6">
        <f t="shared" si="60"/>
        <v>1.515151515151515E-2</v>
      </c>
      <c r="I79" s="6">
        <f t="shared" ref="I79:J79" si="61" xml:space="preserve"> (I34-I4)/14.52</f>
        <v>1.8181818181818191E-2</v>
      </c>
      <c r="J79" s="6">
        <f t="shared" si="61"/>
        <v>2.0730027548209361E-2</v>
      </c>
      <c r="K79" s="6"/>
      <c r="L79" s="6"/>
      <c r="M79" s="6"/>
      <c r="N79" s="6"/>
      <c r="O79" s="6"/>
      <c r="P79" s="6"/>
    </row>
    <row r="80" spans="1:16" x14ac:dyDescent="0.2">
      <c r="A80" s="3">
        <v>4</v>
      </c>
      <c r="B80" s="4">
        <v>50</v>
      </c>
      <c r="C80" s="6">
        <f t="shared" si="55"/>
        <v>1.191460055096419E-2</v>
      </c>
      <c r="D80" s="6">
        <f t="shared" si="55"/>
        <v>0</v>
      </c>
      <c r="E80" s="6">
        <f t="shared" si="55"/>
        <v>0</v>
      </c>
      <c r="F80" s="6"/>
      <c r="G80" s="6">
        <f t="shared" ref="G80:H80" si="62" xml:space="preserve"> (G35-G5)/14.52</f>
        <v>8.8842975206611576E-3</v>
      </c>
      <c r="H80" s="6">
        <f t="shared" si="62"/>
        <v>9.7107438016528942E-3</v>
      </c>
      <c r="I80" s="6">
        <f t="shared" ref="I80:J80" si="63" xml:space="preserve"> (I35-I5)/14.52</f>
        <v>2.0798898071625348E-2</v>
      </c>
      <c r="J80" s="6">
        <f t="shared" si="63"/>
        <v>2.4724517906336094E-2</v>
      </c>
      <c r="K80" s="6"/>
      <c r="L80" s="6"/>
      <c r="M80" s="6"/>
      <c r="N80" s="6"/>
      <c r="O80" s="6"/>
      <c r="P80" s="6"/>
    </row>
    <row r="81" spans="1:16" x14ac:dyDescent="0.2">
      <c r="A81" s="3">
        <v>5</v>
      </c>
      <c r="B81" s="4">
        <v>50</v>
      </c>
      <c r="C81" s="6">
        <f t="shared" si="55"/>
        <v>1.0950413223140498E-2</v>
      </c>
      <c r="D81" s="6">
        <f t="shared" si="55"/>
        <v>0</v>
      </c>
      <c r="E81" s="6">
        <f t="shared" si="55"/>
        <v>0</v>
      </c>
      <c r="F81" s="6"/>
      <c r="G81" s="6">
        <f t="shared" ref="G81:H81" si="64" xml:space="preserve"> (G36-G6)/14.52</f>
        <v>8.81542699724518E-3</v>
      </c>
      <c r="H81" s="6">
        <f t="shared" si="64"/>
        <v>1.267217630853994E-2</v>
      </c>
      <c r="I81" s="6">
        <f t="shared" ref="I81:J81" si="65" xml:space="preserve"> (I36-I6)/14.52</f>
        <v>2.2245179063360879E-2</v>
      </c>
      <c r="J81" s="6">
        <f t="shared" si="65"/>
        <v>1.797520661157025E-2</v>
      </c>
      <c r="K81" s="6"/>
      <c r="L81" s="6"/>
      <c r="M81" s="6"/>
      <c r="N81" s="6"/>
      <c r="O81" s="6"/>
      <c r="P81" s="6"/>
    </row>
    <row r="82" spans="1:16" x14ac:dyDescent="0.2">
      <c r="A82" s="3"/>
      <c r="B82" s="4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">
      <c r="A83" s="3">
        <v>1</v>
      </c>
      <c r="B83" s="4">
        <v>60</v>
      </c>
      <c r="C83" s="6">
        <f t="shared" ref="C83:E87" si="66" xml:space="preserve"> (C38-C2)/14.52</f>
        <v>1.3636363636363634E-2</v>
      </c>
      <c r="D83" s="6">
        <f t="shared" si="66"/>
        <v>0</v>
      </c>
      <c r="E83" s="6">
        <f t="shared" si="66"/>
        <v>0</v>
      </c>
      <c r="F83" s="6"/>
      <c r="G83" s="6">
        <f t="shared" ref="G83:H83" si="67" xml:space="preserve"> (G38-G2)/14.52</f>
        <v>7.2314049586776922E-3</v>
      </c>
      <c r="H83" s="6">
        <f t="shared" si="67"/>
        <v>1.3636363636363641E-2</v>
      </c>
      <c r="I83" s="6">
        <f t="shared" ref="I83:J83" si="68" xml:space="preserve"> (I38-I2)/14.52</f>
        <v>1.6184573002754821E-2</v>
      </c>
      <c r="J83" s="6">
        <f t="shared" si="68"/>
        <v>2.15564738292011E-2</v>
      </c>
      <c r="K83" s="6"/>
      <c r="L83" s="6"/>
      <c r="M83" s="6"/>
      <c r="N83" s="6"/>
      <c r="O83" s="6"/>
      <c r="P83" s="6"/>
    </row>
    <row r="84" spans="1:16" x14ac:dyDescent="0.2">
      <c r="A84" s="3">
        <v>2</v>
      </c>
      <c r="B84" s="4">
        <v>60</v>
      </c>
      <c r="C84" s="6">
        <f t="shared" si="66"/>
        <v>1.3360881542699722E-2</v>
      </c>
      <c r="D84" s="6">
        <f t="shared" si="66"/>
        <v>0</v>
      </c>
      <c r="E84" s="6">
        <f t="shared" si="66"/>
        <v>0</v>
      </c>
      <c r="F84" s="6"/>
      <c r="G84" s="6">
        <f t="shared" ref="G84:H84" si="69" xml:space="preserve"> (G39-G3)/14.52</f>
        <v>1.2327823691460051E-2</v>
      </c>
      <c r="H84" s="6">
        <f t="shared" si="69"/>
        <v>1.3016528925619839E-2</v>
      </c>
      <c r="I84" s="6">
        <f t="shared" ref="I84:J84" si="70" xml:space="preserve"> (I39-I3)/14.52</f>
        <v>2.0523415977961437E-2</v>
      </c>
      <c r="J84" s="6">
        <f t="shared" si="70"/>
        <v>1.9352617079889802E-2</v>
      </c>
      <c r="K84" s="6"/>
      <c r="L84" s="6"/>
      <c r="M84" s="6"/>
      <c r="N84" s="6"/>
      <c r="O84" s="6"/>
      <c r="P84" s="6"/>
    </row>
    <row r="85" spans="1:16" x14ac:dyDescent="0.2">
      <c r="A85" s="3">
        <v>3</v>
      </c>
      <c r="B85" s="4">
        <v>60</v>
      </c>
      <c r="C85" s="6">
        <f t="shared" si="66"/>
        <v>1.2052341597796147E-2</v>
      </c>
      <c r="D85" s="6">
        <f t="shared" si="66"/>
        <v>0</v>
      </c>
      <c r="E85" s="6">
        <f t="shared" si="66"/>
        <v>0</v>
      </c>
      <c r="F85" s="6"/>
      <c r="G85" s="6">
        <f t="shared" ref="G85:H85" si="71" xml:space="preserve"> (G40-G4)/14.52</f>
        <v>1.3085399449035817E-2</v>
      </c>
      <c r="H85" s="6">
        <f t="shared" si="71"/>
        <v>1.6597796143250697E-2</v>
      </c>
      <c r="I85" s="6">
        <f t="shared" ref="I85:J85" si="72" xml:space="preserve"> (I40-I4)/14.52</f>
        <v>2.0110192837465575E-2</v>
      </c>
      <c r="J85" s="6">
        <f t="shared" si="72"/>
        <v>2.2727272727272731E-2</v>
      </c>
      <c r="K85" s="6"/>
      <c r="L85" s="6"/>
      <c r="M85" s="6"/>
      <c r="N85" s="6"/>
      <c r="O85" s="6"/>
      <c r="P85" s="6"/>
    </row>
    <row r="86" spans="1:16" x14ac:dyDescent="0.2">
      <c r="A86" s="3">
        <v>4</v>
      </c>
      <c r="B86" s="4">
        <v>60</v>
      </c>
      <c r="C86" s="6">
        <f t="shared" si="66"/>
        <v>1.4256198347107443E-2</v>
      </c>
      <c r="D86" s="6">
        <f t="shared" si="66"/>
        <v>0</v>
      </c>
      <c r="E86" s="6">
        <f t="shared" si="66"/>
        <v>0</v>
      </c>
      <c r="F86" s="6"/>
      <c r="G86" s="6">
        <f t="shared" ref="G86:H86" si="73" xml:space="preserve"> (G41-G5)/14.52</f>
        <v>1.0055096418732784E-2</v>
      </c>
      <c r="H86" s="6">
        <f t="shared" si="73"/>
        <v>1.0950413223140498E-2</v>
      </c>
      <c r="I86" s="6">
        <f t="shared" ref="I86:J86" si="74" xml:space="preserve"> (I41-I5)/14.52</f>
        <v>2.3760330578512394E-2</v>
      </c>
      <c r="J86" s="6">
        <f t="shared" si="74"/>
        <v>2.644628099173554E-2</v>
      </c>
      <c r="K86" s="6"/>
      <c r="L86" s="6"/>
      <c r="M86" s="6"/>
      <c r="N86" s="6"/>
      <c r="O86" s="6"/>
      <c r="P86" s="6"/>
    </row>
    <row r="87" spans="1:16" x14ac:dyDescent="0.2">
      <c r="A87" s="3">
        <v>5</v>
      </c>
      <c r="B87" s="4">
        <v>60</v>
      </c>
      <c r="C87" s="6">
        <f t="shared" si="66"/>
        <v>1.3016528925619832E-2</v>
      </c>
      <c r="D87" s="6">
        <f t="shared" si="66"/>
        <v>0</v>
      </c>
      <c r="E87" s="6">
        <f t="shared" si="66"/>
        <v>0</v>
      </c>
      <c r="F87" s="6"/>
      <c r="G87" s="6">
        <f t="shared" ref="G87:H87" si="75" xml:space="preserve"> (G42-G6)/14.52</f>
        <v>1.0537190082644631E-2</v>
      </c>
      <c r="H87" s="6">
        <f t="shared" si="75"/>
        <v>1.3842975206611575E-2</v>
      </c>
      <c r="I87" s="6">
        <f t="shared" ref="I87:J87" si="76" xml:space="preserve"> (I42-I6)/14.52</f>
        <v>2.5413223140495867E-2</v>
      </c>
      <c r="J87" s="6">
        <f t="shared" si="76"/>
        <v>2.1418732782369151E-2</v>
      </c>
      <c r="K87" s="6"/>
      <c r="L87" s="6"/>
      <c r="M87" s="6"/>
      <c r="N87" s="6"/>
      <c r="O87" s="6"/>
      <c r="P87" s="6"/>
    </row>
    <row r="88" spans="1:16" x14ac:dyDescent="0.2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2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2">
      <c r="A90" s="7" t="s">
        <v>11</v>
      </c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51" x14ac:dyDescent="0.2">
      <c r="A91" s="1"/>
      <c r="B91" s="2" t="s">
        <v>1</v>
      </c>
      <c r="C91" s="2" t="s">
        <v>2</v>
      </c>
      <c r="D91" s="2" t="s">
        <v>3</v>
      </c>
      <c r="E91" s="2" t="s">
        <v>4</v>
      </c>
      <c r="F91" s="2"/>
      <c r="G91" s="2" t="s">
        <v>6</v>
      </c>
      <c r="H91" s="2" t="s">
        <v>7</v>
      </c>
      <c r="I91" s="2" t="s">
        <v>8</v>
      </c>
      <c r="J91" s="2" t="s">
        <v>9</v>
      </c>
      <c r="N91" s="2"/>
      <c r="O91" s="2"/>
      <c r="P91" s="2"/>
    </row>
    <row r="92" spans="1:16" x14ac:dyDescent="0.2">
      <c r="A92" s="3"/>
      <c r="B92" s="4">
        <v>0</v>
      </c>
      <c r="C92" s="6">
        <f t="shared" ref="C92:E92" si="77" xml:space="preserve"> AVERAGE(C47:C51)</f>
        <v>0</v>
      </c>
      <c r="D92" s="6">
        <f t="shared" si="77"/>
        <v>0</v>
      </c>
      <c r="E92" s="6">
        <f t="shared" si="77"/>
        <v>0</v>
      </c>
      <c r="F92" s="6"/>
      <c r="G92" s="6">
        <f t="shared" ref="G92:H92" si="78" xml:space="preserve"> AVERAGE(G47:G51)</f>
        <v>0</v>
      </c>
      <c r="H92" s="6">
        <f t="shared" si="78"/>
        <v>0</v>
      </c>
      <c r="I92" s="6">
        <f t="shared" ref="I92:J92" si="79" xml:space="preserve"> AVERAGE(I47:I51)</f>
        <v>0</v>
      </c>
      <c r="J92" s="6">
        <f t="shared" si="79"/>
        <v>0</v>
      </c>
      <c r="K92" s="6"/>
      <c r="L92" s="6"/>
      <c r="M92" s="6"/>
      <c r="N92" s="6"/>
      <c r="O92" s="6"/>
      <c r="P92" s="6"/>
    </row>
    <row r="93" spans="1:16" x14ac:dyDescent="0.2">
      <c r="A93" s="3"/>
      <c r="B93" s="4">
        <v>10</v>
      </c>
      <c r="C93" s="6">
        <f t="shared" ref="C93:E93" si="80" xml:space="preserve"> AVERAGE(C53:C57)</f>
        <v>4.8071625344352662E-3</v>
      </c>
      <c r="D93" s="6">
        <f t="shared" si="80"/>
        <v>0</v>
      </c>
      <c r="E93" s="6">
        <f t="shared" si="80"/>
        <v>0</v>
      </c>
      <c r="F93" s="6"/>
      <c r="G93" s="6">
        <f t="shared" ref="G93:H93" si="81" xml:space="preserve"> AVERAGE(G53:G57)</f>
        <v>4.2148760330578561E-3</v>
      </c>
      <c r="H93" s="6">
        <f t="shared" si="81"/>
        <v>5.550964187327828E-3</v>
      </c>
      <c r="I93" s="6">
        <f t="shared" ref="I93:J93" si="82" xml:space="preserve"> AVERAGE(I53:I57)</f>
        <v>8.057851239669421E-3</v>
      </c>
      <c r="J93" s="6">
        <f t="shared" si="82"/>
        <v>9.0495867768595056E-3</v>
      </c>
      <c r="K93" s="6"/>
      <c r="L93" s="6"/>
      <c r="M93" s="6"/>
      <c r="N93" s="6"/>
      <c r="O93" s="6"/>
      <c r="P93" s="6"/>
    </row>
    <row r="94" spans="1:16" x14ac:dyDescent="0.2">
      <c r="A94" s="3"/>
      <c r="B94" s="4">
        <v>20</v>
      </c>
      <c r="C94" s="6">
        <f t="shared" ref="C94:E94" si="83" xml:space="preserve"> AVERAGE(C59:C63)</f>
        <v>6.7355371900826464E-3</v>
      </c>
      <c r="D94" s="6">
        <f t="shared" si="83"/>
        <v>0</v>
      </c>
      <c r="E94" s="6">
        <f t="shared" si="83"/>
        <v>0</v>
      </c>
      <c r="F94" s="6"/>
      <c r="G94" s="6">
        <f t="shared" ref="G94:H94" si="84" xml:space="preserve"> AVERAGE(G59:G63)</f>
        <v>5.6887052341597832E-3</v>
      </c>
      <c r="H94" s="6">
        <f t="shared" si="84"/>
        <v>7.6170798898071625E-3</v>
      </c>
      <c r="I94" s="6">
        <f t="shared" ref="I94:J94" si="85" xml:space="preserve"> AVERAGE(I59:I63)</f>
        <v>1.1129476584022042E-2</v>
      </c>
      <c r="J94" s="6">
        <f t="shared" si="85"/>
        <v>1.2217630853994492E-2</v>
      </c>
      <c r="K94" s="6"/>
      <c r="L94" s="6"/>
      <c r="M94" s="6"/>
      <c r="N94" s="6"/>
      <c r="O94" s="6"/>
      <c r="P94" s="6"/>
    </row>
    <row r="95" spans="1:16" x14ac:dyDescent="0.2">
      <c r="A95" s="3"/>
      <c r="B95" s="4">
        <v>30</v>
      </c>
      <c r="C95" s="6">
        <f t="shared" ref="C95:E95" si="86" xml:space="preserve"> AVERAGE(C65:C69)</f>
        <v>8.3057851239669456E-3</v>
      </c>
      <c r="D95" s="6">
        <f t="shared" si="86"/>
        <v>0</v>
      </c>
      <c r="E95" s="6">
        <f t="shared" si="86"/>
        <v>0</v>
      </c>
      <c r="F95" s="6"/>
      <c r="G95" s="6">
        <f t="shared" ref="G95:H95" si="87" xml:space="preserve"> AVERAGE(G65:G69)</f>
        <v>7.1900826446281013E-3</v>
      </c>
      <c r="H95" s="6">
        <f t="shared" si="87"/>
        <v>9.3388429752066134E-3</v>
      </c>
      <c r="I95" s="6">
        <f t="shared" ref="I95:J95" si="88" xml:space="preserve"> AVERAGE(I65:I69)</f>
        <v>1.3719008264462812E-2</v>
      </c>
      <c r="J95" s="6">
        <f t="shared" si="88"/>
        <v>1.5289256198347112E-2</v>
      </c>
      <c r="K95" s="6"/>
      <c r="L95" s="6"/>
      <c r="M95" s="6"/>
      <c r="N95" s="6"/>
      <c r="O95" s="6"/>
      <c r="P95" s="6"/>
    </row>
    <row r="96" spans="1:16" x14ac:dyDescent="0.2">
      <c r="A96" s="3"/>
      <c r="B96" s="4">
        <v>40</v>
      </c>
      <c r="C96" s="6">
        <f t="shared" ref="C96:E96" si="89" xml:space="preserve"> AVERAGE(C71:C75)</f>
        <v>9.7658402203856746E-3</v>
      </c>
      <c r="D96" s="6">
        <f t="shared" si="89"/>
        <v>0</v>
      </c>
      <c r="E96" s="6">
        <f t="shared" si="89"/>
        <v>0</v>
      </c>
      <c r="F96" s="6"/>
      <c r="G96" s="6">
        <f t="shared" ref="G96:H96" si="90" xml:space="preserve"> AVERAGE(G71:G75)</f>
        <v>8.0716253443526183E-3</v>
      </c>
      <c r="H96" s="6">
        <f t="shared" si="90"/>
        <v>1.0798898071625347E-2</v>
      </c>
      <c r="I96" s="6">
        <f t="shared" ref="I96:J96" si="91" xml:space="preserve"> AVERAGE(I71:I75)</f>
        <v>1.6432506887052341E-2</v>
      </c>
      <c r="J96" s="6">
        <f t="shared" si="91"/>
        <v>1.8099173553719011E-2</v>
      </c>
      <c r="K96" s="6"/>
      <c r="L96" s="6"/>
      <c r="M96" s="6"/>
      <c r="N96" s="6"/>
      <c r="O96" s="6"/>
      <c r="P96" s="6"/>
    </row>
    <row r="97" spans="1:16" x14ac:dyDescent="0.2">
      <c r="A97" s="3"/>
      <c r="B97" s="4">
        <v>50</v>
      </c>
      <c r="C97" s="6">
        <f t="shared" ref="C97:E97" si="92" xml:space="preserve"> AVERAGE(C77:C81)</f>
        <v>1.1528925619834712E-2</v>
      </c>
      <c r="D97" s="6">
        <f t="shared" si="92"/>
        <v>0</v>
      </c>
      <c r="E97" s="6">
        <f t="shared" si="92"/>
        <v>0</v>
      </c>
      <c r="F97" s="6"/>
      <c r="G97" s="6">
        <f t="shared" ref="G97:H97" si="93" xml:space="preserve"> AVERAGE(G77:G81)</f>
        <v>9.3250688705234178E-3</v>
      </c>
      <c r="H97" s="6">
        <f t="shared" si="93"/>
        <v>1.2258953168044073E-2</v>
      </c>
      <c r="I97" s="6">
        <f t="shared" ref="I97:J97" si="94" xml:space="preserve"> AVERAGE(I77:I81)</f>
        <v>1.8911845730027549E-2</v>
      </c>
      <c r="J97" s="6">
        <f t="shared" si="94"/>
        <v>2.0909090909090908E-2</v>
      </c>
      <c r="K97" s="6"/>
      <c r="L97" s="6"/>
      <c r="M97" s="6"/>
      <c r="N97" s="6"/>
      <c r="O97" s="6"/>
      <c r="P97" s="6"/>
    </row>
    <row r="98" spans="1:16" x14ac:dyDescent="0.2">
      <c r="A98" s="3"/>
      <c r="B98" s="4">
        <v>60</v>
      </c>
      <c r="C98" s="6">
        <f t="shared" ref="C98:E98" si="95" xml:space="preserve"> AVERAGE(C83:C87)</f>
        <v>1.3264462809917357E-2</v>
      </c>
      <c r="D98" s="6">
        <f t="shared" si="95"/>
        <v>0</v>
      </c>
      <c r="E98" s="6">
        <f t="shared" si="95"/>
        <v>0</v>
      </c>
      <c r="F98" s="6"/>
      <c r="G98" s="6">
        <f t="shared" ref="G98:H98" si="96" xml:space="preserve"> AVERAGE(G83:G87)</f>
        <v>1.0647382920110195E-2</v>
      </c>
      <c r="H98" s="6">
        <f t="shared" si="96"/>
        <v>1.360881542699725E-2</v>
      </c>
      <c r="I98" s="6">
        <f t="shared" ref="I98:J98" si="97" xml:space="preserve"> AVERAGE(I83:I87)</f>
        <v>2.1198347107438016E-2</v>
      </c>
      <c r="J98" s="6">
        <f t="shared" si="97"/>
        <v>2.2300275482093665E-2</v>
      </c>
      <c r="K98" s="6"/>
      <c r="L98" s="6"/>
      <c r="M98" s="6"/>
      <c r="N98" s="6"/>
      <c r="O98" s="6"/>
      <c r="P98" s="6"/>
    </row>
    <row r="99" spans="1:16" x14ac:dyDescent="0.2">
      <c r="A99" s="3"/>
      <c r="B99" s="4"/>
      <c r="C99" s="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">
      <c r="A100" s="3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">
      <c r="A101" s="7" t="s">
        <v>12</v>
      </c>
      <c r="B101" s="7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ht="51" x14ac:dyDescent="0.2">
      <c r="A102" s="1"/>
      <c r="B102" s="2" t="s">
        <v>1</v>
      </c>
      <c r="C102" s="2" t="s">
        <v>2</v>
      </c>
      <c r="D102" s="2" t="s">
        <v>3</v>
      </c>
      <c r="E102" s="2" t="s">
        <v>4</v>
      </c>
      <c r="F102" s="2"/>
      <c r="G102" s="2" t="s">
        <v>6</v>
      </c>
      <c r="H102" s="2" t="s">
        <v>7</v>
      </c>
      <c r="I102" s="2" t="s">
        <v>8</v>
      </c>
      <c r="J102" s="2" t="s">
        <v>9</v>
      </c>
      <c r="K102" s="2"/>
      <c r="N102" s="8"/>
      <c r="O102" s="8"/>
      <c r="P102" s="8"/>
    </row>
    <row r="103" spans="1:16" x14ac:dyDescent="0.2">
      <c r="A103" s="3"/>
      <c r="B103" s="4">
        <v>0</v>
      </c>
      <c r="C103" s="6">
        <f t="shared" ref="C103:E103" si="98" xml:space="preserve"> STDEV(C47:C51)*32.258/AVERAGE(C2:C6)</f>
        <v>0</v>
      </c>
      <c r="D103" s="6" t="e">
        <f t="shared" si="98"/>
        <v>#DIV/0!</v>
      </c>
      <c r="E103" s="6" t="e">
        <f t="shared" si="98"/>
        <v>#DIV/0!</v>
      </c>
      <c r="F103" s="6"/>
      <c r="G103" s="6">
        <f t="shared" ref="G103:H103" si="99" xml:space="preserve"> STDEV(G47:G51)*32.258/AVERAGE(G2:G6)</f>
        <v>0</v>
      </c>
      <c r="H103" s="6">
        <f t="shared" si="99"/>
        <v>0</v>
      </c>
      <c r="I103" s="6">
        <f t="shared" ref="I103:J103" si="100" xml:space="preserve"> STDEV(I47:I51)*32.258/AVERAGE(I2:I6)</f>
        <v>0</v>
      </c>
      <c r="J103" s="6">
        <f t="shared" si="100"/>
        <v>0</v>
      </c>
      <c r="K103" s="6"/>
      <c r="L103" s="6"/>
      <c r="M103" s="6"/>
      <c r="N103" s="6"/>
      <c r="O103" s="6"/>
      <c r="P103" s="6"/>
    </row>
    <row r="104" spans="1:16" x14ac:dyDescent="0.2">
      <c r="A104" s="3"/>
      <c r="B104" s="4">
        <v>10</v>
      </c>
      <c r="C104" s="6">
        <f t="shared" ref="C104:E104" si="101" xml:space="preserve"> STDEV(C53:C57)*32.258/AVERAGE(C2:C6)</f>
        <v>1.0306389977449001E-2</v>
      </c>
      <c r="D104" s="6" t="e">
        <f t="shared" si="101"/>
        <v>#DIV/0!</v>
      </c>
      <c r="E104" s="6" t="e">
        <f t="shared" si="101"/>
        <v>#DIV/0!</v>
      </c>
      <c r="F104" s="6"/>
      <c r="G104" s="6">
        <f t="shared" ref="G104:H104" si="102" xml:space="preserve"> STDEV(G53:G57)*32.258/AVERAGE(G2:G6)</f>
        <v>1.4744919009439552E-2</v>
      </c>
      <c r="H104" s="6">
        <f t="shared" si="102"/>
        <v>2.6870424327631152E-2</v>
      </c>
      <c r="I104" s="6">
        <f t="shared" ref="I104:J104" si="103" xml:space="preserve"> STDEV(I53:I57)*32.258/AVERAGE(I2:I6)</f>
        <v>3.3011337469573396E-2</v>
      </c>
      <c r="J104" s="6">
        <f t="shared" si="103"/>
        <v>4.528456101274099E-2</v>
      </c>
      <c r="K104" s="6"/>
      <c r="L104" s="6"/>
      <c r="M104" s="6"/>
      <c r="N104" s="6"/>
      <c r="O104" s="6"/>
      <c r="P104" s="6"/>
    </row>
    <row r="105" spans="1:16" x14ac:dyDescent="0.2">
      <c r="A105" s="3"/>
      <c r="B105" s="4">
        <v>20</v>
      </c>
      <c r="C105" s="6">
        <f t="shared" ref="C105:E105" si="104" xml:space="preserve"> STDEV(C59:C63)*32.258/AVERAGE(C2:C6)</f>
        <v>1.0474531416368844E-2</v>
      </c>
      <c r="D105" s="6" t="e">
        <f t="shared" si="104"/>
        <v>#DIV/0!</v>
      </c>
      <c r="E105" s="6" t="e">
        <f t="shared" si="104"/>
        <v>#DIV/0!</v>
      </c>
      <c r="F105" s="6"/>
      <c r="G105" s="6">
        <f t="shared" ref="G105:H105" si="105" xml:space="preserve"> STDEV(G59:G63)*32.258/AVERAGE(G2:G6)</f>
        <v>2.0583389108954617E-2</v>
      </c>
      <c r="H105" s="6">
        <f t="shared" si="105"/>
        <v>4.4308156253975176E-2</v>
      </c>
      <c r="I105" s="6">
        <f t="shared" ref="I105:J105" si="106" xml:space="preserve"> STDEV(I59:I63)*32.258/AVERAGE(I2:I6)</f>
        <v>4.4489273629223287E-2</v>
      </c>
      <c r="J105" s="6">
        <f t="shared" si="106"/>
        <v>5.058090553937019E-2</v>
      </c>
      <c r="K105" s="6"/>
      <c r="L105" s="6"/>
      <c r="M105" s="6"/>
      <c r="N105" s="6"/>
      <c r="O105" s="6"/>
      <c r="P105" s="6"/>
    </row>
    <row r="106" spans="1:16" x14ac:dyDescent="0.2">
      <c r="A106" s="3"/>
      <c r="B106" s="4">
        <v>30</v>
      </c>
      <c r="C106" s="6">
        <f t="shared" ref="C106:E106" si="107" xml:space="preserve"> STDEV(C65:C69)*32.258/AVERAGE(C2:C6)</f>
        <v>1.5254813210292201E-2</v>
      </c>
      <c r="D106" s="6" t="e">
        <f t="shared" si="107"/>
        <v>#DIV/0!</v>
      </c>
      <c r="E106" s="6" t="e">
        <f t="shared" si="107"/>
        <v>#DIV/0!</v>
      </c>
      <c r="F106" s="6"/>
      <c r="G106" s="6">
        <f t="shared" ref="G106:H106" si="108" xml:space="preserve"> STDEV(G65:G69)*32.258/AVERAGE(G2:G6)</f>
        <v>4.8874857146077012E-2</v>
      </c>
      <c r="H106" s="6">
        <f t="shared" si="108"/>
        <v>5.7199517189065192E-2</v>
      </c>
      <c r="I106" s="6">
        <f t="shared" ref="I106:J106" si="109" xml:space="preserve"> STDEV(I65:I69)*32.258/AVERAGE(I2:I6)</f>
        <v>6.1091096323940129E-2</v>
      </c>
      <c r="J106" s="6">
        <f t="shared" si="109"/>
        <v>9.6827146151178323E-2</v>
      </c>
      <c r="K106" s="6"/>
      <c r="L106" s="6"/>
      <c r="M106" s="6"/>
      <c r="N106" s="6"/>
      <c r="O106" s="6"/>
      <c r="P106" s="6"/>
    </row>
    <row r="107" spans="1:16" x14ac:dyDescent="0.2">
      <c r="A107" s="3"/>
      <c r="B107" s="4">
        <v>40</v>
      </c>
      <c r="C107" s="6">
        <f t="shared" ref="C107:E107" si="110" xml:space="preserve"> STDEV(C71:C75)*32.258/AVERAGE(C2:C6)</f>
        <v>1.48838199801039E-2</v>
      </c>
      <c r="D107" s="6" t="e">
        <f t="shared" si="110"/>
        <v>#DIV/0!</v>
      </c>
      <c r="E107" s="6" t="e">
        <f t="shared" si="110"/>
        <v>#DIV/0!</v>
      </c>
      <c r="F107" s="6"/>
      <c r="G107" s="6">
        <f t="shared" ref="G107:H107" si="111" xml:space="preserve"> STDEV(G71:G75)*32.258/AVERAGE(G2:G6)</f>
        <v>5.8564696783640735E-2</v>
      </c>
      <c r="H107" s="6">
        <f t="shared" si="111"/>
        <v>6.8790529843393705E-2</v>
      </c>
      <c r="I107" s="6">
        <f t="shared" ref="I107:J107" si="112" xml:space="preserve"> STDEV(I71:I75)*32.258/AVERAGE(I2:I6)</f>
        <v>0.10060932507734212</v>
      </c>
      <c r="J107" s="6">
        <f t="shared" si="112"/>
        <v>9.0042019431994746E-2</v>
      </c>
      <c r="K107" s="6"/>
      <c r="L107" s="6"/>
      <c r="M107" s="6"/>
      <c r="N107" s="6"/>
      <c r="O107" s="6"/>
      <c r="P107" s="6"/>
    </row>
    <row r="108" spans="1:16" x14ac:dyDescent="0.2">
      <c r="A108" s="3"/>
      <c r="B108" s="4">
        <v>50</v>
      </c>
      <c r="C108" s="6">
        <f t="shared" ref="C108:E108" si="113" xml:space="preserve"> STDEV(C77:C81)*32.258/AVERAGE(C2:C6)</f>
        <v>2.9708891846976285E-2</v>
      </c>
      <c r="D108" s="6" t="e">
        <f t="shared" si="113"/>
        <v>#DIV/0!</v>
      </c>
      <c r="E108" s="6" t="e">
        <f t="shared" si="113"/>
        <v>#DIV/0!</v>
      </c>
      <c r="F108" s="6"/>
      <c r="G108" s="6">
        <f t="shared" ref="G108:H108" si="114" xml:space="preserve"> STDEV(G77:G81)*32.258/AVERAGE(G2:G6)</f>
        <v>7.1532245519706633E-2</v>
      </c>
      <c r="H108" s="6">
        <f t="shared" si="114"/>
        <v>7.6145547971825558E-2</v>
      </c>
      <c r="I108" s="6">
        <f t="shared" ref="I108:J108" si="115" xml:space="preserve"> STDEV(I77:I81)*32.258/AVERAGE(I2:I6)</f>
        <v>0.11156733180932987</v>
      </c>
      <c r="J108" s="6">
        <f t="shared" si="115"/>
        <v>0.10760020199786102</v>
      </c>
      <c r="K108" s="6"/>
      <c r="L108" s="6"/>
      <c r="M108" s="6"/>
      <c r="N108" s="6"/>
      <c r="O108" s="6"/>
      <c r="P108" s="6"/>
    </row>
    <row r="109" spans="1:16" x14ac:dyDescent="0.2">
      <c r="A109" s="3"/>
      <c r="B109" s="4">
        <v>60</v>
      </c>
      <c r="C109" s="6">
        <f t="shared" ref="C109:E109" si="116" xml:space="preserve"> STDEV(C83:C87)*32.258/AVERAGE(C2:C6)</f>
        <v>3.1312202213865818E-2</v>
      </c>
      <c r="D109" s="6" t="e">
        <f t="shared" si="116"/>
        <v>#DIV/0!</v>
      </c>
      <c r="E109" s="6" t="e">
        <f t="shared" si="116"/>
        <v>#DIV/0!</v>
      </c>
      <c r="F109" s="6"/>
      <c r="G109" s="6">
        <f t="shared" ref="G109:H109" si="117" xml:space="preserve"> STDEV(G83:G87)*32.258/AVERAGE(G2:G6)</f>
        <v>8.7403696728981406E-2</v>
      </c>
      <c r="H109" s="6">
        <f t="shared" si="117"/>
        <v>7.8317438763117017E-2</v>
      </c>
      <c r="I109" s="6">
        <f t="shared" ref="I109:J109" si="118" xml:space="preserve"> STDEV(I83:I87)*32.258/AVERAGE(I2:I6)</f>
        <v>0.13828769683444492</v>
      </c>
      <c r="J109" s="6">
        <f t="shared" si="118"/>
        <v>0.10090006341876774</v>
      </c>
      <c r="K109" s="6"/>
      <c r="L109" s="6"/>
      <c r="M109" s="6"/>
      <c r="N109" s="6"/>
      <c r="O109" s="6"/>
      <c r="P109" s="6"/>
    </row>
    <row r="110" spans="1:16" x14ac:dyDescent="0.2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2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">
      <c r="A112" s="7" t="s">
        <v>13</v>
      </c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51" x14ac:dyDescent="0.2">
      <c r="A113" s="1"/>
      <c r="B113" s="2" t="s">
        <v>1</v>
      </c>
      <c r="C113" s="2" t="s">
        <v>2</v>
      </c>
      <c r="D113" s="2" t="s">
        <v>3</v>
      </c>
      <c r="E113" s="2" t="s">
        <v>4</v>
      </c>
      <c r="F113" s="2"/>
      <c r="G113" s="2" t="s">
        <v>6</v>
      </c>
      <c r="H113" s="2" t="s">
        <v>7</v>
      </c>
      <c r="I113" s="2" t="s">
        <v>8</v>
      </c>
      <c r="J113" s="2" t="s">
        <v>9</v>
      </c>
      <c r="K113" s="2"/>
      <c r="N113" s="2"/>
      <c r="O113" s="2"/>
      <c r="P113" s="2"/>
    </row>
    <row r="114" spans="1:16" x14ac:dyDescent="0.2">
      <c r="A114" s="3"/>
      <c r="B114" s="4">
        <v>0</v>
      </c>
      <c r="C114" s="6">
        <f t="shared" ref="C114:E114" si="119">AVERAGE(C47:C51)*32.258/AVERAGE(C2:C6)</f>
        <v>0</v>
      </c>
      <c r="D114" s="6" t="e">
        <f t="shared" si="119"/>
        <v>#DIV/0!</v>
      </c>
      <c r="E114" s="6" t="e">
        <f t="shared" si="119"/>
        <v>#DIV/0!</v>
      </c>
      <c r="F114" s="6"/>
      <c r="G114" s="6">
        <f t="shared" ref="G114:H114" si="120">AVERAGE(G47:G51)*32.258/AVERAGE(G2:G6)</f>
        <v>0</v>
      </c>
      <c r="H114" s="6">
        <f t="shared" si="120"/>
        <v>0</v>
      </c>
      <c r="I114" s="6">
        <f t="shared" ref="I114:J114" si="121">AVERAGE(I47:I51)*32.258/AVERAGE(I2:I6)</f>
        <v>0</v>
      </c>
      <c r="J114" s="6">
        <f t="shared" si="121"/>
        <v>0</v>
      </c>
      <c r="K114" s="6"/>
      <c r="N114" s="6"/>
      <c r="O114" s="6"/>
      <c r="P114" s="6"/>
    </row>
    <row r="115" spans="1:16" x14ac:dyDescent="0.2">
      <c r="A115" s="3"/>
      <c r="B115" s="4">
        <v>10</v>
      </c>
      <c r="C115" s="6">
        <f t="shared" ref="C115:E115" si="122">AVERAGE(C53:C57)*32.258/AVERAGE(C2:C6)</f>
        <v>0.18451862093742602</v>
      </c>
      <c r="D115" s="6" t="e">
        <f t="shared" si="122"/>
        <v>#DIV/0!</v>
      </c>
      <c r="E115" s="6" t="e">
        <f t="shared" si="122"/>
        <v>#DIV/0!</v>
      </c>
      <c r="F115" s="6"/>
      <c r="G115" s="6">
        <f t="shared" ref="G115:H115" si="123">AVERAGE(G53:G57)*32.258/AVERAGE(G2:G6)</f>
        <v>0.16155355403324659</v>
      </c>
      <c r="H115" s="6">
        <f t="shared" si="123"/>
        <v>0.21465236484634515</v>
      </c>
      <c r="I115" s="6">
        <f t="shared" ref="I115:J115" si="124">AVERAGE(I53:I57)*32.258/AVERAGE(I2:I6)</f>
        <v>0.31174162303820602</v>
      </c>
      <c r="J115" s="6">
        <f t="shared" si="124"/>
        <v>0.34893804715268223</v>
      </c>
      <c r="K115" s="6"/>
      <c r="N115" s="6"/>
      <c r="O115" s="6"/>
      <c r="P115" s="6"/>
    </row>
    <row r="116" spans="1:16" x14ac:dyDescent="0.2">
      <c r="A116" s="3"/>
      <c r="B116" s="4">
        <v>20</v>
      </c>
      <c r="C116" s="6">
        <f t="shared" ref="C116:E116" si="125">AVERAGE(C59:C63)*32.258/AVERAGE(C2:C6)</f>
        <v>0.25853755197249645</v>
      </c>
      <c r="D116" s="6" t="e">
        <f t="shared" si="125"/>
        <v>#DIV/0!</v>
      </c>
      <c r="E116" s="6" t="e">
        <f t="shared" si="125"/>
        <v>#DIV/0!</v>
      </c>
      <c r="F116" s="6"/>
      <c r="G116" s="6">
        <f t="shared" ref="G116:H116" si="126">AVERAGE(G59:G63)*32.258/AVERAGE(G2:G6)</f>
        <v>0.21804450266578695</v>
      </c>
      <c r="H116" s="6">
        <f t="shared" si="126"/>
        <v>0.29454778600503417</v>
      </c>
      <c r="I116" s="6">
        <f t="shared" ref="I116:J116" si="127">AVERAGE(I59:I63)*32.258/AVERAGE(I2:I6)</f>
        <v>0.43057646395704369</v>
      </c>
      <c r="J116" s="6">
        <f t="shared" si="127"/>
        <v>0.471092919063058</v>
      </c>
      <c r="K116" s="6"/>
      <c r="N116" s="6"/>
      <c r="O116" s="6"/>
      <c r="P116" s="6"/>
    </row>
    <row r="117" spans="1:16" x14ac:dyDescent="0.2">
      <c r="A117" s="3"/>
      <c r="B117" s="4">
        <v>30</v>
      </c>
      <c r="C117" s="6">
        <f t="shared" ref="C117:E117" si="128">AVERAGE(C65:C69)*32.258/AVERAGE(C2:C6)</f>
        <v>0.31881011010105392</v>
      </c>
      <c r="D117" s="6" t="e">
        <f t="shared" si="128"/>
        <v>#DIV/0!</v>
      </c>
      <c r="E117" s="6" t="e">
        <f t="shared" si="128"/>
        <v>#DIV/0!</v>
      </c>
      <c r="F117" s="6"/>
      <c r="G117" s="6">
        <f t="shared" ref="G117:H117" si="129">AVERAGE(G65:G69)*32.258/AVERAGE(G2:G6)</f>
        <v>0.27559135688024394</v>
      </c>
      <c r="H117" s="6">
        <f t="shared" si="129"/>
        <v>0.36112730363727524</v>
      </c>
      <c r="I117" s="6">
        <f t="shared" ref="I117:J117" si="130">AVERAGE(I65:I69)*32.258/AVERAGE(I2:I6)</f>
        <v>0.53076009665992008</v>
      </c>
      <c r="J117" s="6">
        <f t="shared" si="130"/>
        <v>0.58953003400224868</v>
      </c>
      <c r="K117" s="6"/>
      <c r="N117" s="6"/>
      <c r="O117" s="6"/>
      <c r="P117" s="6"/>
    </row>
    <row r="118" spans="1:16" x14ac:dyDescent="0.2">
      <c r="A118" s="3"/>
      <c r="B118" s="4">
        <v>40</v>
      </c>
      <c r="C118" s="6">
        <f t="shared" ref="C118:E118" si="131">AVERAGE(C71:C75)*32.258/AVERAGE(C2:C6)</f>
        <v>0.37485301502760721</v>
      </c>
      <c r="D118" s="6" t="e">
        <f t="shared" si="131"/>
        <v>#DIV/0!</v>
      </c>
      <c r="E118" s="6" t="e">
        <f t="shared" si="131"/>
        <v>#DIV/0!</v>
      </c>
      <c r="F118" s="6"/>
      <c r="G118" s="6">
        <f t="shared" ref="G118:H118" si="132">AVERAGE(G71:G75)*32.258/AVERAGE(G2:G6)</f>
        <v>0.30938033550157645</v>
      </c>
      <c r="H118" s="6">
        <f t="shared" si="132"/>
        <v>0.4175867345894157</v>
      </c>
      <c r="I118" s="6">
        <f t="shared" ref="I118:J118" si="133">AVERAGE(I71:I75)*32.258/AVERAGE(I2:I6)</f>
        <v>0.63573975433261498</v>
      </c>
      <c r="J118" s="6">
        <f t="shared" si="133"/>
        <v>0.69787609430536446</v>
      </c>
      <c r="K118" s="6"/>
      <c r="N118" s="6"/>
      <c r="O118" s="6"/>
      <c r="P118" s="6"/>
    </row>
    <row r="119" spans="1:16" x14ac:dyDescent="0.2">
      <c r="A119" s="3"/>
      <c r="B119" s="4">
        <v>50</v>
      </c>
      <c r="C119" s="6">
        <f t="shared" ref="C119:E119" si="134">AVERAGE(C77:C81)*32.258/AVERAGE(C2:C6)</f>
        <v>0.44252746625967176</v>
      </c>
      <c r="D119" s="6" t="e">
        <f t="shared" si="134"/>
        <v>#DIV/0!</v>
      </c>
      <c r="E119" s="6" t="e">
        <f t="shared" si="134"/>
        <v>#DIV/0!</v>
      </c>
      <c r="F119" s="6"/>
      <c r="G119" s="6">
        <f t="shared" ref="G119:H119" si="135">AVERAGE(G77:G81)*32.258/AVERAGE(G2:G6)</f>
        <v>0.35742403947878382</v>
      </c>
      <c r="H119" s="6">
        <f t="shared" si="135"/>
        <v>0.47404616554155576</v>
      </c>
      <c r="I119" s="6">
        <f t="shared" ref="I119:J119" si="136">AVERAGE(I77:I81)*32.258/AVERAGE(I2:I6)</f>
        <v>0.73166025372898613</v>
      </c>
      <c r="J119" s="6">
        <f t="shared" si="136"/>
        <v>0.80622215460848023</v>
      </c>
      <c r="K119" s="6"/>
      <c r="N119" s="6"/>
      <c r="O119" s="6"/>
      <c r="P119" s="6"/>
    </row>
    <row r="120" spans="1:16" x14ac:dyDescent="0.2">
      <c r="A120" s="3"/>
      <c r="B120" s="4">
        <v>60</v>
      </c>
      <c r="C120" s="6">
        <f t="shared" ref="C120:E120" si="137">AVERAGE(C83:C87)*32.258/AVERAGE(C2:C6)</f>
        <v>0.50914450419123525</v>
      </c>
      <c r="D120" s="6" t="e">
        <f t="shared" si="137"/>
        <v>#DIV/0!</v>
      </c>
      <c r="E120" s="6" t="e">
        <f t="shared" si="137"/>
        <v>#DIV/0!</v>
      </c>
      <c r="F120" s="6"/>
      <c r="G120" s="6">
        <f t="shared" ref="G120:H120" si="138">AVERAGE(G83:G87)*32.258/AVERAGE(G2:G6)</f>
        <v>0.40810750741078267</v>
      </c>
      <c r="H120" s="6">
        <f t="shared" si="138"/>
        <v>0.52624450736523309</v>
      </c>
      <c r="I120" s="6">
        <f t="shared" ref="I120:J120" si="139">AVERAGE(I83:I87)*32.258/AVERAGE(I2:I6)</f>
        <v>0.82012026983897279</v>
      </c>
      <c r="J120" s="6">
        <f t="shared" si="139"/>
        <v>0.85986407662129749</v>
      </c>
      <c r="K120" s="6"/>
      <c r="N120" s="6"/>
      <c r="O120" s="6"/>
      <c r="P120" s="6"/>
    </row>
    <row r="121" spans="1:16" x14ac:dyDescent="0.2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N121" s="4"/>
      <c r="O121" s="4"/>
      <c r="P121" s="4"/>
    </row>
    <row r="122" spans="1:16" x14ac:dyDescent="0.2">
      <c r="A122" s="9" t="s">
        <v>14</v>
      </c>
      <c r="B122" s="9"/>
      <c r="C122" s="9"/>
      <c r="D122" s="9"/>
      <c r="E122" s="10"/>
      <c r="F122" s="11"/>
      <c r="G122" s="4"/>
      <c r="H122" s="4"/>
      <c r="I122" s="4"/>
      <c r="J122" s="4"/>
      <c r="K122" s="4"/>
      <c r="N122" s="4"/>
      <c r="O122" s="4"/>
      <c r="P122" s="4"/>
    </row>
    <row r="123" spans="1:16" ht="51" x14ac:dyDescent="0.2">
      <c r="A123" s="12"/>
      <c r="B123" s="13" t="s">
        <v>1</v>
      </c>
      <c r="C123" s="13" t="s">
        <v>2</v>
      </c>
      <c r="D123" s="13" t="s">
        <v>3</v>
      </c>
      <c r="E123" s="13" t="s">
        <v>4</v>
      </c>
      <c r="F123" s="13"/>
      <c r="G123" s="2" t="s">
        <v>6</v>
      </c>
      <c r="H123" s="2" t="s">
        <v>7</v>
      </c>
      <c r="I123" s="2" t="s">
        <v>8</v>
      </c>
      <c r="J123" s="2" t="s">
        <v>9</v>
      </c>
      <c r="K123" s="2"/>
      <c r="N123" s="4"/>
      <c r="O123" s="4"/>
      <c r="P123" s="4"/>
    </row>
    <row r="124" spans="1:16" x14ac:dyDescent="0.2">
      <c r="A124" s="14"/>
      <c r="B124" s="15">
        <v>0</v>
      </c>
      <c r="C124" s="16">
        <f t="shared" ref="C124:E124" si="140">STDEV(C47:C51)*32.35/AVERAGE(C2:C6)</f>
        <v>0</v>
      </c>
      <c r="D124" s="16" t="e">
        <f t="shared" si="140"/>
        <v>#DIV/0!</v>
      </c>
      <c r="E124" s="16" t="e">
        <f t="shared" si="140"/>
        <v>#DIV/0!</v>
      </c>
      <c r="F124" s="16"/>
      <c r="G124" s="16">
        <f t="shared" ref="G124:H124" si="141">STDEV(G47:G51)*32.35/AVERAGE(G2:G6)</f>
        <v>0</v>
      </c>
      <c r="H124" s="16">
        <f t="shared" si="141"/>
        <v>0</v>
      </c>
      <c r="I124" s="16">
        <f t="shared" ref="I124:J124" si="142">STDEV(I47:I51)*32.35/AVERAGE(I2:I6)</f>
        <v>0</v>
      </c>
      <c r="J124" s="16">
        <f t="shared" si="142"/>
        <v>0</v>
      </c>
      <c r="K124" s="16"/>
      <c r="L124" s="4"/>
      <c r="M124" s="4"/>
      <c r="N124" s="4"/>
      <c r="O124" s="4"/>
      <c r="P124" s="4"/>
    </row>
    <row r="125" spans="1:16" x14ac:dyDescent="0.2">
      <c r="A125" s="14"/>
      <c r="B125" s="15">
        <v>10</v>
      </c>
      <c r="C125" s="16">
        <f t="shared" ref="C125:E125" si="143">STDEV(C53:C57)*32.35/AVERAGE(C8:C12)</f>
        <v>9.5431693653309606E-3</v>
      </c>
      <c r="D125" s="16" t="e">
        <f t="shared" si="143"/>
        <v>#DIV/0!</v>
      </c>
      <c r="E125" s="16" t="e">
        <f t="shared" si="143"/>
        <v>#DIV/0!</v>
      </c>
      <c r="F125" s="16"/>
      <c r="G125" s="16">
        <f t="shared" ref="G125:H125" si="144">STDEV(G53:G57)*32.35/AVERAGE(G8:G12)</f>
        <v>1.3784576097379497E-2</v>
      </c>
      <c r="H125" s="16">
        <f t="shared" si="144"/>
        <v>2.45728427637836E-2</v>
      </c>
      <c r="I125" s="16">
        <f t="shared" ref="I125:J125" si="145">STDEV(I53:I57)*32.35/AVERAGE(I8:I12)</f>
        <v>2.9031714577627061E-2</v>
      </c>
      <c r="J125" s="16">
        <f t="shared" si="145"/>
        <v>3.9249082811107151E-2</v>
      </c>
      <c r="K125" s="16"/>
    </row>
    <row r="126" spans="1:16" x14ac:dyDescent="0.2">
      <c r="A126" s="14"/>
      <c r="B126" s="15">
        <v>20</v>
      </c>
      <c r="C126" s="16">
        <f t="shared" ref="C126:E126" si="146">STDEV(C59:C63)*32.35/AVERAGE(C14:C18)</f>
        <v>9.4094029282633055E-3</v>
      </c>
      <c r="D126" s="16" t="e">
        <f t="shared" si="146"/>
        <v>#DIV/0!</v>
      </c>
      <c r="E126" s="16" t="e">
        <f t="shared" si="146"/>
        <v>#DIV/0!</v>
      </c>
      <c r="F126" s="16"/>
      <c r="G126" s="16">
        <f t="shared" ref="G126:H126" si="147">STDEV(G59:G63)*32.35/AVERAGE(G14:G18)</f>
        <v>1.8797214361229605E-2</v>
      </c>
      <c r="H126" s="16">
        <f t="shared" si="147"/>
        <v>3.9232937546437342E-2</v>
      </c>
      <c r="I126" s="16">
        <f t="shared" ref="I126:J126" si="148">STDEV(I59:I63)*32.35/AVERAGE(I14:I18)</f>
        <v>3.7372867138390206E-2</v>
      </c>
      <c r="J126" s="16">
        <f t="shared" si="148"/>
        <v>4.185076036140601E-2</v>
      </c>
      <c r="K126" s="16"/>
    </row>
    <row r="127" spans="1:16" x14ac:dyDescent="0.2">
      <c r="A127" s="14"/>
      <c r="B127" s="15">
        <v>30</v>
      </c>
      <c r="C127" s="16">
        <f t="shared" ref="C127:E127" si="149">STDEV(C65:C69)*32.35/AVERAGE(C20:C24)</f>
        <v>1.3378468416918171E-2</v>
      </c>
      <c r="D127" s="16" t="e">
        <f t="shared" si="149"/>
        <v>#DIV/0!</v>
      </c>
      <c r="E127" s="16" t="e">
        <f t="shared" si="149"/>
        <v>#DIV/0!</v>
      </c>
      <c r="F127" s="16"/>
      <c r="G127" s="16">
        <f t="shared" ref="G127:H127" si="150">STDEV(G65:G69)*32.35/AVERAGE(G20:G24)</f>
        <v>4.3605065065832782E-2</v>
      </c>
      <c r="H127" s="16">
        <f t="shared" si="150"/>
        <v>4.9342053082177581E-2</v>
      </c>
      <c r="I127" s="16">
        <f t="shared" ref="I127:J127" si="151">STDEV(I65:I69)*32.35/AVERAGE(I20:I24)</f>
        <v>4.9451143161559075E-2</v>
      </c>
      <c r="J127" s="16">
        <f t="shared" si="151"/>
        <v>7.6739673980874043E-2</v>
      </c>
      <c r="K127" s="16"/>
    </row>
    <row r="128" spans="1:16" x14ac:dyDescent="0.2">
      <c r="A128" s="14"/>
      <c r="B128" s="15">
        <v>40</v>
      </c>
      <c r="C128" s="16">
        <f t="shared" ref="C128:E128" si="152">STDEV(C71:C75)*32.35/AVERAGE(C26:C30)</f>
        <v>1.277136655664725E-2</v>
      </c>
      <c r="D128" s="16" t="e">
        <f t="shared" si="152"/>
        <v>#DIV/0!</v>
      </c>
      <c r="E128" s="16" t="e">
        <f t="shared" si="152"/>
        <v>#DIV/0!</v>
      </c>
      <c r="F128" s="16"/>
      <c r="G128" s="16">
        <f t="shared" ref="G128:H128" si="153">STDEV(G71:G75)*32.35/AVERAGE(G26:G30)</f>
        <v>5.1552585116256391E-2</v>
      </c>
      <c r="H128" s="16">
        <f t="shared" si="153"/>
        <v>5.8071364796963482E-2</v>
      </c>
      <c r="I128" s="16">
        <f t="shared" ref="I128:J128" si="154">STDEV(I71:I75)*32.35/AVERAGE(I26:I30)</f>
        <v>7.8447691590411983E-2</v>
      </c>
      <c r="J128" s="16">
        <f t="shared" si="154"/>
        <v>6.8713837213156242E-2</v>
      </c>
      <c r="K128" s="16"/>
    </row>
    <row r="129" spans="1:11" x14ac:dyDescent="0.2">
      <c r="A129" s="14"/>
      <c r="B129" s="15">
        <v>50</v>
      </c>
      <c r="C129" s="16">
        <f t="shared" ref="C129:E129" si="155">STDEV(C77:C81)*32.35/AVERAGE(C32:C36)</f>
        <v>2.4844770530399598E-2</v>
      </c>
      <c r="D129" s="16" t="e">
        <f t="shared" si="155"/>
        <v>#DIV/0!</v>
      </c>
      <c r="E129" s="16" t="e">
        <f t="shared" si="155"/>
        <v>#DIV/0!</v>
      </c>
      <c r="F129" s="16"/>
      <c r="G129" s="16">
        <f t="shared" ref="G129:H129" si="156">STDEV(G77:G81)*32.35/AVERAGE(G32:G36)</f>
        <v>6.179450661071112E-2</v>
      </c>
      <c r="H129" s="16">
        <f t="shared" si="156"/>
        <v>6.293398268878482E-2</v>
      </c>
      <c r="I129" s="16">
        <f t="shared" ref="I129:J129" si="157">STDEV(I77:I81)*32.35/AVERAGE(I32:I36)</f>
        <v>8.4166500036552683E-2</v>
      </c>
      <c r="J129" s="16">
        <f t="shared" si="157"/>
        <v>7.9174760374635694E-2</v>
      </c>
      <c r="K129" s="16"/>
    </row>
    <row r="130" spans="1:11" x14ac:dyDescent="0.2">
      <c r="A130" s="14"/>
      <c r="B130" s="15">
        <v>60</v>
      </c>
      <c r="C130" s="16">
        <f t="shared" ref="C130:E130" si="158">STDEV(C83:C87)*32.35/AVERAGE(C38:C42)</f>
        <v>2.5546780859818596E-2</v>
      </c>
      <c r="D130" s="16" t="e">
        <f t="shared" si="158"/>
        <v>#DIV/0!</v>
      </c>
      <c r="E130" s="16" t="e">
        <f t="shared" si="158"/>
        <v>#DIV/0!</v>
      </c>
      <c r="F130" s="16"/>
      <c r="G130" s="16">
        <f t="shared" ref="G130:H130" si="159">STDEV(G83:G87)*32.35/AVERAGE(G38:G42)</f>
        <v>7.4050132217848272E-2</v>
      </c>
      <c r="H130" s="16">
        <f t="shared" si="159"/>
        <v>6.3499453202946296E-2</v>
      </c>
      <c r="I130" s="16">
        <f t="shared" ref="I130:J130" si="160">STDEV(I83:I87)*32.35/AVERAGE(I38:I42)</f>
        <v>0.1012904082773642</v>
      </c>
      <c r="J130" s="16">
        <f t="shared" si="160"/>
        <v>7.2952205613434934E-2</v>
      </c>
      <c r="K130" s="16"/>
    </row>
  </sheetData>
  <mergeCells count="1">
    <mergeCell ref="A45:P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33B9-2E53-FA43-88B4-08DDEA6E9214}">
  <dimension ref="A1:H195"/>
  <sheetViews>
    <sheetView topLeftCell="A39" workbookViewId="0">
      <selection activeCell="F55" sqref="F55:F96"/>
    </sheetView>
  </sheetViews>
  <sheetFormatPr baseColWidth="10" defaultColWidth="11" defaultRowHeight="16" x14ac:dyDescent="0.2"/>
  <sheetData>
    <row r="1" spans="1:8" x14ac:dyDescent="0.2">
      <c r="A1" s="18" t="s">
        <v>15</v>
      </c>
      <c r="B1" s="1"/>
      <c r="C1" s="2"/>
      <c r="D1" s="2"/>
      <c r="E1" s="2"/>
      <c r="F1" s="2"/>
    </row>
    <row r="2" spans="1:8" x14ac:dyDescent="0.2">
      <c r="A2" s="32" t="s">
        <v>16</v>
      </c>
      <c r="B2" s="32"/>
      <c r="C2" s="32"/>
      <c r="D2" s="32"/>
      <c r="E2" s="32"/>
      <c r="F2" s="1"/>
    </row>
    <row r="3" spans="1:8" ht="51" x14ac:dyDescent="0.2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17</v>
      </c>
      <c r="H3" s="13" t="s">
        <v>18</v>
      </c>
    </row>
    <row r="4" spans="1:8" x14ac:dyDescent="0.2">
      <c r="A4" s="3">
        <v>1</v>
      </c>
      <c r="B4" s="4">
        <v>0</v>
      </c>
      <c r="C4" s="19">
        <v>0.85499999999999998</v>
      </c>
      <c r="D4" s="19">
        <v>0.81200000000000006</v>
      </c>
      <c r="E4" s="20">
        <v>0.82099999999999995</v>
      </c>
      <c r="F4" s="20">
        <v>0.873</v>
      </c>
      <c r="G4" s="20">
        <v>0.85799999999999998</v>
      </c>
      <c r="H4" s="20">
        <v>0.85799999999999998</v>
      </c>
    </row>
    <row r="5" spans="1:8" x14ac:dyDescent="0.2">
      <c r="A5" s="3">
        <v>2</v>
      </c>
      <c r="B5" s="4">
        <v>0</v>
      </c>
      <c r="C5" s="19">
        <v>0.84399999999999997</v>
      </c>
      <c r="D5" s="19">
        <v>0.82799999999999996</v>
      </c>
      <c r="E5" s="20">
        <v>0.82199999999999995</v>
      </c>
      <c r="F5" s="20">
        <v>0.874</v>
      </c>
      <c r="G5" s="20">
        <v>0.83899999999999997</v>
      </c>
      <c r="H5" s="20">
        <v>0.84</v>
      </c>
    </row>
    <row r="6" spans="1:8" x14ac:dyDescent="0.2">
      <c r="A6" s="3">
        <v>3</v>
      </c>
      <c r="B6" s="4">
        <v>0</v>
      </c>
      <c r="C6" s="19">
        <v>0.85</v>
      </c>
      <c r="D6" s="19">
        <v>0.80900000000000005</v>
      </c>
      <c r="E6" s="20">
        <v>0.82599999999999996</v>
      </c>
      <c r="F6" s="20">
        <v>0.88900000000000001</v>
      </c>
      <c r="G6" s="20">
        <v>0.86399999999999999</v>
      </c>
      <c r="H6" s="20">
        <v>0.83199999999999996</v>
      </c>
    </row>
    <row r="7" spans="1:8" x14ac:dyDescent="0.2">
      <c r="A7" s="3">
        <v>4</v>
      </c>
      <c r="B7" s="4">
        <v>0</v>
      </c>
      <c r="C7" s="19">
        <v>0.84199999999999997</v>
      </c>
      <c r="D7" s="19">
        <v>0.80900000000000005</v>
      </c>
      <c r="E7" s="20">
        <v>0.84399999999999997</v>
      </c>
      <c r="F7" s="20">
        <v>0.90900000000000003</v>
      </c>
      <c r="G7" s="20">
        <v>0.85699999999999998</v>
      </c>
      <c r="H7" s="20">
        <v>0.84899999999999998</v>
      </c>
    </row>
    <row r="8" spans="1:8" x14ac:dyDescent="0.2">
      <c r="A8" s="3">
        <v>5</v>
      </c>
      <c r="B8" s="4">
        <v>0</v>
      </c>
      <c r="C8" s="19">
        <v>0.85199999999999998</v>
      </c>
      <c r="D8" s="19">
        <v>0.84</v>
      </c>
      <c r="E8" s="20">
        <v>0.84899999999999998</v>
      </c>
      <c r="F8" s="20">
        <v>0.88</v>
      </c>
      <c r="G8" s="20">
        <v>0.85799999999999998</v>
      </c>
      <c r="H8" s="20">
        <v>0.84699999999999998</v>
      </c>
    </row>
    <row r="9" spans="1:8" x14ac:dyDescent="0.2">
      <c r="A9" s="3"/>
      <c r="B9" s="4"/>
      <c r="E9" s="20"/>
      <c r="F9" s="20"/>
      <c r="G9" s="20"/>
      <c r="H9" s="20"/>
    </row>
    <row r="10" spans="1:8" x14ac:dyDescent="0.2">
      <c r="A10" s="3">
        <v>1</v>
      </c>
      <c r="B10" s="4">
        <v>10</v>
      </c>
      <c r="C10" s="19">
        <v>0.995</v>
      </c>
      <c r="D10" s="19">
        <v>0.97199999999999998</v>
      </c>
      <c r="E10" s="20">
        <v>0.99199999999999999</v>
      </c>
      <c r="F10" s="20">
        <v>0.97599999999999998</v>
      </c>
      <c r="G10" s="20">
        <v>1.0169999999999999</v>
      </c>
      <c r="H10" s="20">
        <v>1.0289999999999999</v>
      </c>
    </row>
    <row r="11" spans="1:8" x14ac:dyDescent="0.2">
      <c r="A11" s="3">
        <v>2</v>
      </c>
      <c r="B11" s="4">
        <v>10</v>
      </c>
      <c r="C11" s="19">
        <v>0.97799999999999998</v>
      </c>
      <c r="D11" s="19">
        <v>0.98799999999999999</v>
      </c>
      <c r="E11" s="20">
        <v>0.98499999999999999</v>
      </c>
      <c r="F11" s="20">
        <v>0.97299999999999998</v>
      </c>
      <c r="G11" s="20">
        <v>0.99399999999999999</v>
      </c>
      <c r="H11" s="20">
        <v>1.0129999999999999</v>
      </c>
    </row>
    <row r="12" spans="1:8" x14ac:dyDescent="0.2">
      <c r="A12" s="3">
        <v>3</v>
      </c>
      <c r="B12" s="4">
        <v>10</v>
      </c>
      <c r="C12" s="19">
        <v>0.98899999999999999</v>
      </c>
      <c r="D12" s="19">
        <v>0.97899999999999998</v>
      </c>
      <c r="E12" s="20">
        <v>0.98899999999999999</v>
      </c>
      <c r="F12" s="20">
        <v>0.98699999999999999</v>
      </c>
      <c r="G12" s="20">
        <v>1.0169999999999999</v>
      </c>
      <c r="H12" s="20">
        <v>1.0129999999999999</v>
      </c>
    </row>
    <row r="13" spans="1:8" x14ac:dyDescent="0.2">
      <c r="A13" s="3">
        <v>4</v>
      </c>
      <c r="B13" s="4">
        <v>10</v>
      </c>
      <c r="C13" s="19">
        <v>0.98199999999999998</v>
      </c>
      <c r="D13" s="19">
        <v>0.97599999999999998</v>
      </c>
      <c r="E13" s="20">
        <v>1.006</v>
      </c>
      <c r="F13" s="20">
        <v>1.012</v>
      </c>
      <c r="G13" s="20">
        <v>1.0169999999999999</v>
      </c>
      <c r="H13" s="20">
        <v>1.034</v>
      </c>
    </row>
    <row r="14" spans="1:8" x14ac:dyDescent="0.2">
      <c r="A14" s="3">
        <v>5</v>
      </c>
      <c r="B14" s="4">
        <v>10</v>
      </c>
      <c r="C14" s="19">
        <v>0.99199999999999999</v>
      </c>
      <c r="D14" s="19">
        <v>1.02</v>
      </c>
      <c r="E14" s="20">
        <v>1.0089999999999999</v>
      </c>
      <c r="F14" s="20">
        <v>0.97</v>
      </c>
      <c r="G14" s="20">
        <v>1.026</v>
      </c>
      <c r="H14" s="20">
        <v>1.0109999999999999</v>
      </c>
    </row>
    <row r="15" spans="1:8" x14ac:dyDescent="0.2">
      <c r="A15" s="3"/>
      <c r="B15" s="4"/>
      <c r="E15" s="20"/>
      <c r="F15" s="20"/>
      <c r="G15" s="20"/>
      <c r="H15" s="20"/>
    </row>
    <row r="16" spans="1:8" x14ac:dyDescent="0.2">
      <c r="A16" s="3">
        <v>1</v>
      </c>
      <c r="B16" s="4">
        <v>20</v>
      </c>
      <c r="C16" s="19">
        <v>1.048</v>
      </c>
      <c r="D16" s="19">
        <v>1.0029999999999999</v>
      </c>
      <c r="E16" s="20">
        <v>1.016</v>
      </c>
      <c r="F16" s="20">
        <v>1.014</v>
      </c>
      <c r="G16" s="20">
        <v>1.032</v>
      </c>
      <c r="H16" s="20">
        <v>1.056</v>
      </c>
    </row>
    <row r="17" spans="1:8" x14ac:dyDescent="0.2">
      <c r="A17" s="3">
        <v>2</v>
      </c>
      <c r="B17" s="4">
        <v>20</v>
      </c>
      <c r="C17" s="19">
        <v>1.03</v>
      </c>
      <c r="D17" s="19">
        <v>1.02</v>
      </c>
      <c r="E17" s="20">
        <v>1.01</v>
      </c>
      <c r="F17" s="20">
        <v>1.0089999999999999</v>
      </c>
      <c r="G17" s="20">
        <v>1.0209999999999999</v>
      </c>
      <c r="H17" s="20">
        <v>1.034</v>
      </c>
    </row>
    <row r="18" spans="1:8" x14ac:dyDescent="0.2">
      <c r="A18" s="3">
        <v>3</v>
      </c>
      <c r="B18" s="4">
        <v>20</v>
      </c>
      <c r="C18" s="19">
        <v>1.0429999999999999</v>
      </c>
      <c r="D18" s="19">
        <v>1.004</v>
      </c>
      <c r="E18" s="20">
        <v>1.0209999999999999</v>
      </c>
      <c r="F18" s="20">
        <v>1.028</v>
      </c>
      <c r="G18" s="20">
        <v>1.0429999999999999</v>
      </c>
      <c r="H18" s="20">
        <v>1.0429999999999999</v>
      </c>
    </row>
    <row r="19" spans="1:8" x14ac:dyDescent="0.2">
      <c r="A19" s="3">
        <v>4</v>
      </c>
      <c r="B19" s="4">
        <v>20</v>
      </c>
      <c r="C19" s="19">
        <v>1.0249999999999999</v>
      </c>
      <c r="D19" s="19">
        <v>1.006</v>
      </c>
      <c r="E19" s="20">
        <v>1.0369999999999999</v>
      </c>
      <c r="F19" s="20">
        <v>1.0609999999999999</v>
      </c>
      <c r="G19" s="20">
        <v>1.0429999999999999</v>
      </c>
      <c r="H19" s="20">
        <v>1.0580000000000001</v>
      </c>
    </row>
    <row r="20" spans="1:8" x14ac:dyDescent="0.2">
      <c r="A20" s="3">
        <v>5</v>
      </c>
      <c r="B20" s="4">
        <v>20</v>
      </c>
      <c r="C20" s="19">
        <v>1.0389999999999999</v>
      </c>
      <c r="D20" s="19">
        <v>1.054</v>
      </c>
      <c r="E20" s="20">
        <v>1.0389999999999999</v>
      </c>
      <c r="F20" s="20">
        <v>1.0169999999999999</v>
      </c>
      <c r="G20" s="20">
        <v>1.05</v>
      </c>
      <c r="H20" s="20">
        <v>1.05</v>
      </c>
    </row>
    <row r="21" spans="1:8" x14ac:dyDescent="0.2">
      <c r="A21" s="3"/>
      <c r="B21" s="4"/>
      <c r="E21" s="20"/>
      <c r="F21" s="20"/>
      <c r="G21" s="20"/>
      <c r="H21" s="20"/>
    </row>
    <row r="22" spans="1:8" x14ac:dyDescent="0.2">
      <c r="A22" s="3">
        <v>1</v>
      </c>
      <c r="B22" s="4">
        <v>30</v>
      </c>
      <c r="C22" s="19">
        <v>1.0780000000000001</v>
      </c>
      <c r="D22" s="19">
        <v>1.0229999999999999</v>
      </c>
      <c r="E22" s="20">
        <v>1.042</v>
      </c>
      <c r="F22" s="20">
        <v>1.0369999999999999</v>
      </c>
      <c r="G22" s="20">
        <v>1.0529999999999999</v>
      </c>
      <c r="H22" s="20">
        <v>1.0740000000000001</v>
      </c>
    </row>
    <row r="23" spans="1:8" x14ac:dyDescent="0.2">
      <c r="A23" s="3">
        <v>2</v>
      </c>
      <c r="B23" s="4">
        <v>30</v>
      </c>
      <c r="C23" s="19">
        <v>1.0589999999999999</v>
      </c>
      <c r="D23" s="19">
        <v>1.0409999999999999</v>
      </c>
      <c r="E23" s="20">
        <v>1.032</v>
      </c>
      <c r="F23" s="20">
        <v>1.0269999999999999</v>
      </c>
      <c r="G23" s="20">
        <v>1.0329999999999999</v>
      </c>
      <c r="H23" s="20">
        <v>1.0629999999999999</v>
      </c>
    </row>
    <row r="24" spans="1:8" x14ac:dyDescent="0.2">
      <c r="A24" s="3">
        <v>3</v>
      </c>
      <c r="B24" s="4">
        <v>30</v>
      </c>
      <c r="C24" s="19">
        <v>1.069</v>
      </c>
      <c r="D24" s="19">
        <v>1.0309999999999999</v>
      </c>
      <c r="E24" s="20">
        <v>1.044</v>
      </c>
      <c r="F24" s="20">
        <v>1.0580000000000001</v>
      </c>
      <c r="G24" s="20">
        <v>1.0640000000000001</v>
      </c>
      <c r="H24" s="20">
        <v>1.075</v>
      </c>
    </row>
    <row r="25" spans="1:8" x14ac:dyDescent="0.2">
      <c r="A25" s="3">
        <v>4</v>
      </c>
      <c r="B25" s="4">
        <v>30</v>
      </c>
      <c r="C25" s="19">
        <v>1.048</v>
      </c>
      <c r="D25" s="19">
        <v>1.0309999999999999</v>
      </c>
      <c r="E25" s="20">
        <v>1.06</v>
      </c>
      <c r="F25" s="20">
        <v>1.1000000000000001</v>
      </c>
      <c r="G25" s="20">
        <v>1.0589999999999999</v>
      </c>
      <c r="H25" s="20">
        <v>1.0860000000000001</v>
      </c>
    </row>
    <row r="26" spans="1:8" x14ac:dyDescent="0.2">
      <c r="A26" s="3">
        <v>5</v>
      </c>
      <c r="B26" s="4">
        <v>30</v>
      </c>
      <c r="C26" s="19">
        <v>1.0640000000000001</v>
      </c>
      <c r="D26" s="19">
        <v>1.079</v>
      </c>
      <c r="E26" s="20">
        <v>1.0580000000000001</v>
      </c>
      <c r="F26" s="20">
        <v>1.056</v>
      </c>
      <c r="G26" s="20">
        <v>1.0760000000000001</v>
      </c>
      <c r="H26" s="20">
        <v>1.0720000000000001</v>
      </c>
    </row>
    <row r="27" spans="1:8" x14ac:dyDescent="0.2">
      <c r="A27" s="3"/>
      <c r="B27" s="4"/>
      <c r="E27" s="20"/>
      <c r="F27" s="20"/>
      <c r="G27" s="20"/>
      <c r="H27" s="20"/>
    </row>
    <row r="28" spans="1:8" x14ac:dyDescent="0.2">
      <c r="A28" s="3">
        <v>1</v>
      </c>
      <c r="B28" s="4">
        <v>40</v>
      </c>
      <c r="C28" s="19">
        <v>1.099</v>
      </c>
      <c r="D28" s="19">
        <v>1.0349999999999999</v>
      </c>
      <c r="E28" s="20">
        <v>1.0529999999999999</v>
      </c>
      <c r="F28" s="20">
        <v>1.056</v>
      </c>
      <c r="G28" s="20">
        <v>1.0660000000000001</v>
      </c>
      <c r="H28" s="20">
        <v>1.099</v>
      </c>
    </row>
    <row r="29" spans="1:8" x14ac:dyDescent="0.2">
      <c r="A29" s="3">
        <v>2</v>
      </c>
      <c r="B29" s="4">
        <v>40</v>
      </c>
      <c r="C29" s="19">
        <v>1.087</v>
      </c>
      <c r="D29" s="19">
        <v>1.0609999999999999</v>
      </c>
      <c r="E29" s="20">
        <v>1.044</v>
      </c>
      <c r="F29" s="20">
        <v>1.044</v>
      </c>
      <c r="G29" s="20">
        <v>1.0609999999999999</v>
      </c>
      <c r="H29" s="20">
        <v>1.083</v>
      </c>
    </row>
    <row r="30" spans="1:8" x14ac:dyDescent="0.2">
      <c r="A30" s="3">
        <v>3</v>
      </c>
      <c r="B30" s="4">
        <v>40</v>
      </c>
      <c r="C30" s="19">
        <v>1.0980000000000001</v>
      </c>
      <c r="D30" s="19">
        <v>1.0509999999999999</v>
      </c>
      <c r="E30" s="20">
        <v>1.0569999999999999</v>
      </c>
      <c r="F30" s="20">
        <v>1.0840000000000001</v>
      </c>
      <c r="G30" s="20">
        <v>1.075</v>
      </c>
      <c r="H30" s="20">
        <v>1.087</v>
      </c>
    </row>
    <row r="31" spans="1:8" x14ac:dyDescent="0.2">
      <c r="A31" s="3">
        <v>4</v>
      </c>
      <c r="B31" s="4">
        <v>40</v>
      </c>
      <c r="C31" s="19">
        <v>1.073</v>
      </c>
      <c r="D31" s="19">
        <v>1.0389999999999999</v>
      </c>
      <c r="E31" s="20">
        <v>1.0680000000000001</v>
      </c>
      <c r="F31" s="20">
        <v>1.135</v>
      </c>
      <c r="G31" s="20">
        <v>1.075</v>
      </c>
      <c r="H31" s="20">
        <v>1.109</v>
      </c>
    </row>
    <row r="32" spans="1:8" x14ac:dyDescent="0.2">
      <c r="A32" s="3">
        <v>5</v>
      </c>
      <c r="B32" s="4">
        <v>40</v>
      </c>
      <c r="C32" s="19">
        <v>1.0940000000000001</v>
      </c>
      <c r="D32" s="19">
        <v>1.089</v>
      </c>
      <c r="E32" s="20">
        <v>1.079</v>
      </c>
      <c r="F32" s="20">
        <v>1.0840000000000001</v>
      </c>
      <c r="G32" s="20">
        <v>1.0960000000000001</v>
      </c>
      <c r="H32" s="20">
        <v>1.099</v>
      </c>
    </row>
    <row r="33" spans="1:8" x14ac:dyDescent="0.2">
      <c r="A33" s="3"/>
      <c r="B33" s="4"/>
      <c r="E33" s="20"/>
      <c r="F33" s="20"/>
      <c r="G33" s="20"/>
      <c r="H33" s="20"/>
    </row>
    <row r="34" spans="1:8" x14ac:dyDescent="0.2">
      <c r="A34" s="3">
        <v>1</v>
      </c>
      <c r="B34" s="4">
        <v>50</v>
      </c>
      <c r="C34" s="19">
        <v>1.1200000000000001</v>
      </c>
      <c r="D34" s="19">
        <v>1.052</v>
      </c>
      <c r="E34" s="20">
        <v>1.0640000000000001</v>
      </c>
      <c r="F34" s="20">
        <v>1.079</v>
      </c>
      <c r="G34" s="20">
        <v>1.079</v>
      </c>
      <c r="H34" s="20">
        <v>1.1080000000000001</v>
      </c>
    </row>
    <row r="35" spans="1:8" x14ac:dyDescent="0.2">
      <c r="A35" s="3">
        <v>2</v>
      </c>
      <c r="B35" s="4">
        <v>50</v>
      </c>
      <c r="C35" s="19">
        <v>1.1060000000000001</v>
      </c>
      <c r="D35" s="19">
        <v>1.071</v>
      </c>
      <c r="E35" s="20">
        <v>1.0529999999999999</v>
      </c>
      <c r="F35" s="20">
        <v>1.0640000000000001</v>
      </c>
      <c r="G35" s="20">
        <v>1.0620000000000001</v>
      </c>
      <c r="H35" s="20">
        <v>1.089</v>
      </c>
    </row>
    <row r="36" spans="1:8" x14ac:dyDescent="0.2">
      <c r="A36" s="3">
        <v>3</v>
      </c>
      <c r="B36" s="4">
        <v>50</v>
      </c>
      <c r="C36" s="19">
        <v>1.1279999999999999</v>
      </c>
      <c r="D36" s="19">
        <v>1.0660000000000001</v>
      </c>
      <c r="E36" s="20">
        <v>1.075</v>
      </c>
      <c r="F36" s="20">
        <v>1.107</v>
      </c>
      <c r="G36" s="20">
        <v>1.0880000000000001</v>
      </c>
      <c r="H36" s="20">
        <v>1.1020000000000001</v>
      </c>
    </row>
    <row r="37" spans="1:8" x14ac:dyDescent="0.2">
      <c r="A37" s="3">
        <v>4</v>
      </c>
      <c r="B37" s="4">
        <v>50</v>
      </c>
      <c r="C37" s="19">
        <v>1.095</v>
      </c>
      <c r="D37" s="19">
        <v>1.054</v>
      </c>
      <c r="E37" s="20">
        <v>1.0860000000000001</v>
      </c>
      <c r="F37" s="20">
        <v>1.17</v>
      </c>
      <c r="G37" s="20">
        <v>1.1040000000000001</v>
      </c>
      <c r="H37" s="20">
        <v>1.125</v>
      </c>
    </row>
    <row r="38" spans="1:8" x14ac:dyDescent="0.2">
      <c r="A38" s="3">
        <v>5</v>
      </c>
      <c r="B38" s="4">
        <v>50</v>
      </c>
      <c r="C38" s="19">
        <v>1.1140000000000001</v>
      </c>
      <c r="D38" s="19">
        <v>1.113</v>
      </c>
      <c r="E38" s="20">
        <v>1.091</v>
      </c>
      <c r="F38" s="20">
        <v>1.117</v>
      </c>
      <c r="G38" s="20">
        <v>1.1240000000000001</v>
      </c>
      <c r="H38" s="20">
        <v>1.1100000000000001</v>
      </c>
    </row>
    <row r="39" spans="1:8" x14ac:dyDescent="0.2">
      <c r="A39" s="3"/>
      <c r="B39" s="4"/>
      <c r="E39" s="20"/>
      <c r="F39" s="20"/>
      <c r="G39" s="20"/>
      <c r="H39" s="20"/>
    </row>
    <row r="40" spans="1:8" x14ac:dyDescent="0.2">
      <c r="A40" s="3">
        <v>1</v>
      </c>
      <c r="B40" s="4">
        <v>60</v>
      </c>
      <c r="C40" s="19">
        <v>1.155</v>
      </c>
      <c r="D40" s="19">
        <v>1.0609999999999999</v>
      </c>
      <c r="E40" s="20">
        <v>1.0840000000000001</v>
      </c>
      <c r="F40" s="20">
        <v>1.0940000000000001</v>
      </c>
      <c r="G40" s="20">
        <v>1.0880000000000001</v>
      </c>
      <c r="H40" s="20">
        <v>1.1200000000000001</v>
      </c>
    </row>
    <row r="41" spans="1:8" x14ac:dyDescent="0.2">
      <c r="A41" s="3">
        <v>2</v>
      </c>
      <c r="B41" s="4">
        <v>60</v>
      </c>
      <c r="C41" s="19">
        <v>1.135</v>
      </c>
      <c r="D41" s="19">
        <v>1.081</v>
      </c>
      <c r="E41" s="20">
        <v>1.069</v>
      </c>
      <c r="F41" s="20">
        <v>1.085</v>
      </c>
      <c r="G41" s="20">
        <v>1.0860000000000001</v>
      </c>
      <c r="H41" s="20">
        <v>1.1000000000000001</v>
      </c>
    </row>
    <row r="42" spans="1:8" x14ac:dyDescent="0.2">
      <c r="A42" s="3">
        <v>3</v>
      </c>
      <c r="B42" s="4">
        <v>60</v>
      </c>
      <c r="C42" s="19">
        <v>1.157</v>
      </c>
      <c r="D42" s="19">
        <v>1.0680000000000001</v>
      </c>
      <c r="E42" s="20">
        <v>1.091</v>
      </c>
      <c r="F42" s="20">
        <v>1.1299999999999999</v>
      </c>
      <c r="G42" s="20">
        <v>1.105</v>
      </c>
      <c r="H42" s="20">
        <v>1.115</v>
      </c>
    </row>
    <row r="43" spans="1:8" x14ac:dyDescent="0.2">
      <c r="A43" s="3">
        <v>4</v>
      </c>
      <c r="B43" s="4">
        <v>60</v>
      </c>
      <c r="C43" s="19">
        <v>1.1080000000000001</v>
      </c>
      <c r="D43" s="19">
        <v>1.0680000000000001</v>
      </c>
      <c r="E43" s="20">
        <v>1.093</v>
      </c>
      <c r="F43" s="20">
        <v>1.208</v>
      </c>
      <c r="G43" s="20">
        <v>1.113</v>
      </c>
      <c r="H43" s="20">
        <v>1.145</v>
      </c>
    </row>
    <row r="44" spans="1:8" x14ac:dyDescent="0.2">
      <c r="A44" s="3">
        <v>5</v>
      </c>
      <c r="B44" s="4">
        <v>60</v>
      </c>
      <c r="C44" s="19">
        <v>1.1259999999999999</v>
      </c>
      <c r="D44" s="19">
        <v>1.131</v>
      </c>
      <c r="E44" s="20">
        <v>1.103</v>
      </c>
      <c r="F44" s="20">
        <v>1.1499999999999999</v>
      </c>
      <c r="G44" s="20">
        <v>1.113</v>
      </c>
      <c r="H44" s="20">
        <v>1.1259999999999999</v>
      </c>
    </row>
    <row r="45" spans="1:8" x14ac:dyDescent="0.2">
      <c r="A45" s="3"/>
      <c r="B45" s="4"/>
      <c r="E45" s="5"/>
      <c r="F45" s="5"/>
      <c r="G45" s="5"/>
      <c r="H45" s="5"/>
    </row>
    <row r="46" spans="1:8" x14ac:dyDescent="0.2">
      <c r="A46" s="3"/>
      <c r="B46" s="4"/>
      <c r="C46" s="5"/>
      <c r="D46" s="5"/>
      <c r="E46" s="5"/>
      <c r="F46" s="5"/>
    </row>
    <row r="47" spans="1:8" x14ac:dyDescent="0.2">
      <c r="A47" s="3"/>
      <c r="B47" s="4"/>
      <c r="C47" s="5"/>
      <c r="D47" s="5"/>
      <c r="E47" s="5"/>
      <c r="F47" s="5"/>
    </row>
    <row r="48" spans="1:8" x14ac:dyDescent="0.2">
      <c r="A48" s="3"/>
      <c r="B48" s="4"/>
      <c r="C48" s="5"/>
      <c r="D48" s="5"/>
      <c r="E48" s="5"/>
      <c r="F48" s="5"/>
    </row>
    <row r="49" spans="1:8" x14ac:dyDescent="0.2">
      <c r="A49" s="3"/>
      <c r="B49" s="4"/>
      <c r="C49" s="5"/>
      <c r="D49" s="5"/>
      <c r="E49" s="5"/>
      <c r="F49" s="5"/>
    </row>
    <row r="50" spans="1:8" x14ac:dyDescent="0.2">
      <c r="A50" s="3"/>
      <c r="B50" s="4"/>
      <c r="C50" s="5"/>
      <c r="D50" s="5"/>
      <c r="E50" s="5"/>
      <c r="F50" s="5"/>
    </row>
    <row r="51" spans="1:8" x14ac:dyDescent="0.2">
      <c r="A51" s="3"/>
      <c r="B51" s="4"/>
      <c r="C51" s="4"/>
      <c r="D51" s="4"/>
      <c r="E51" s="4"/>
      <c r="F51" s="4"/>
    </row>
    <row r="52" spans="1:8" x14ac:dyDescent="0.2">
      <c r="A52" s="3"/>
      <c r="B52" s="4"/>
      <c r="C52" s="4"/>
      <c r="D52" s="4"/>
      <c r="E52" s="4"/>
      <c r="F52" s="4"/>
    </row>
    <row r="53" spans="1:8" x14ac:dyDescent="0.2">
      <c r="A53" s="31" t="s">
        <v>10</v>
      </c>
      <c r="B53" s="31"/>
      <c r="C53" s="31"/>
      <c r="D53" s="31"/>
      <c r="E53" s="31"/>
      <c r="F53" s="1"/>
    </row>
    <row r="54" spans="1:8" ht="51" x14ac:dyDescent="0.2">
      <c r="A54" s="1" t="s">
        <v>0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17</v>
      </c>
      <c r="H54" s="13" t="s">
        <v>18</v>
      </c>
    </row>
    <row r="55" spans="1:8" x14ac:dyDescent="0.2">
      <c r="A55" s="3">
        <v>1</v>
      </c>
      <c r="B55" s="4">
        <v>0</v>
      </c>
      <c r="C55" s="6">
        <f t="shared" ref="C55:F59" si="0" xml:space="preserve"> (C4-C4)/32.258</f>
        <v>0</v>
      </c>
      <c r="D55" s="6">
        <f t="shared" si="0"/>
        <v>0</v>
      </c>
      <c r="E55" s="6">
        <f t="shared" si="0"/>
        <v>0</v>
      </c>
      <c r="F55" s="6">
        <f t="shared" si="0"/>
        <v>0</v>
      </c>
      <c r="G55" s="6">
        <f t="shared" ref="G55:H55" si="1" xml:space="preserve"> (G4-G4)/32.258</f>
        <v>0</v>
      </c>
      <c r="H55" s="6">
        <f t="shared" si="1"/>
        <v>0</v>
      </c>
    </row>
    <row r="56" spans="1:8" x14ac:dyDescent="0.2">
      <c r="A56" s="3">
        <v>2</v>
      </c>
      <c r="B56" s="4">
        <v>0</v>
      </c>
      <c r="C56" s="6">
        <f t="shared" si="0"/>
        <v>0</v>
      </c>
      <c r="D56" s="6">
        <f t="shared" si="0"/>
        <v>0</v>
      </c>
      <c r="E56" s="6">
        <f t="shared" si="0"/>
        <v>0</v>
      </c>
      <c r="F56" s="6">
        <f t="shared" si="0"/>
        <v>0</v>
      </c>
      <c r="G56" s="6">
        <f t="shared" ref="G56:H56" si="2" xml:space="preserve"> (G5-G5)/32.258</f>
        <v>0</v>
      </c>
      <c r="H56" s="6">
        <f t="shared" si="2"/>
        <v>0</v>
      </c>
    </row>
    <row r="57" spans="1:8" x14ac:dyDescent="0.2">
      <c r="A57" s="3">
        <v>3</v>
      </c>
      <c r="B57" s="4">
        <v>0</v>
      </c>
      <c r="C57" s="6">
        <f t="shared" si="0"/>
        <v>0</v>
      </c>
      <c r="D57" s="6">
        <f t="shared" si="0"/>
        <v>0</v>
      </c>
      <c r="E57" s="6">
        <f t="shared" si="0"/>
        <v>0</v>
      </c>
      <c r="F57" s="6">
        <f t="shared" si="0"/>
        <v>0</v>
      </c>
      <c r="G57" s="6">
        <f t="shared" ref="G57:H57" si="3" xml:space="preserve"> (G6-G6)/32.258</f>
        <v>0</v>
      </c>
      <c r="H57" s="6">
        <f t="shared" si="3"/>
        <v>0</v>
      </c>
    </row>
    <row r="58" spans="1:8" x14ac:dyDescent="0.2">
      <c r="A58" s="3">
        <v>4</v>
      </c>
      <c r="B58" s="4">
        <v>0</v>
      </c>
      <c r="C58" s="6">
        <f t="shared" si="0"/>
        <v>0</v>
      </c>
      <c r="D58" s="6">
        <f t="shared" si="0"/>
        <v>0</v>
      </c>
      <c r="E58" s="6">
        <f t="shared" si="0"/>
        <v>0</v>
      </c>
      <c r="F58" s="6">
        <f t="shared" si="0"/>
        <v>0</v>
      </c>
      <c r="G58" s="6">
        <f t="shared" ref="G58:H58" si="4" xml:space="preserve"> (G7-G7)/32.258</f>
        <v>0</v>
      </c>
      <c r="H58" s="6">
        <f t="shared" si="4"/>
        <v>0</v>
      </c>
    </row>
    <row r="59" spans="1:8" x14ac:dyDescent="0.2">
      <c r="A59" s="3">
        <v>5</v>
      </c>
      <c r="B59" s="4">
        <v>0</v>
      </c>
      <c r="C59" s="6">
        <f t="shared" si="0"/>
        <v>0</v>
      </c>
      <c r="D59" s="6">
        <f t="shared" si="0"/>
        <v>0</v>
      </c>
      <c r="E59" s="6">
        <f t="shared" si="0"/>
        <v>0</v>
      </c>
      <c r="F59" s="6">
        <f t="shared" si="0"/>
        <v>0</v>
      </c>
      <c r="G59" s="6">
        <f t="shared" ref="G59:H59" si="5" xml:space="preserve"> (G8-G8)/32.258</f>
        <v>0</v>
      </c>
      <c r="H59" s="6">
        <f t="shared" si="5"/>
        <v>0</v>
      </c>
    </row>
    <row r="60" spans="1:8" x14ac:dyDescent="0.2">
      <c r="A60" s="3"/>
      <c r="B60" s="4"/>
      <c r="C60" s="6"/>
      <c r="D60" s="6"/>
      <c r="E60" s="6"/>
      <c r="F60" s="6"/>
      <c r="G60" s="6"/>
      <c r="H60" s="6"/>
    </row>
    <row r="61" spans="1:8" x14ac:dyDescent="0.2">
      <c r="A61" s="3">
        <v>1</v>
      </c>
      <c r="B61" s="4">
        <v>10</v>
      </c>
      <c r="C61" s="6">
        <f t="shared" ref="C61:F65" si="6" xml:space="preserve"> (C10-C4)/32.258</f>
        <v>4.3400086800173604E-3</v>
      </c>
      <c r="D61" s="6">
        <f t="shared" si="6"/>
        <v>4.9600099200198368E-3</v>
      </c>
      <c r="E61" s="6">
        <f t="shared" si="6"/>
        <v>5.3010106020212047E-3</v>
      </c>
      <c r="F61" s="6">
        <f t="shared" si="6"/>
        <v>3.1930063860127712E-3</v>
      </c>
      <c r="G61" s="6">
        <f t="shared" ref="G61:H61" si="7" xml:space="preserve"> (G10-G4)/32.258</f>
        <v>4.9290098580197133E-3</v>
      </c>
      <c r="H61" s="6">
        <f t="shared" si="7"/>
        <v>5.3010106020212012E-3</v>
      </c>
    </row>
    <row r="62" spans="1:8" x14ac:dyDescent="0.2">
      <c r="A62" s="3">
        <v>2</v>
      </c>
      <c r="B62" s="4">
        <v>10</v>
      </c>
      <c r="C62" s="6">
        <f t="shared" si="6"/>
        <v>4.1540083080166155E-3</v>
      </c>
      <c r="D62" s="6">
        <f t="shared" si="6"/>
        <v>4.9600099200198403E-3</v>
      </c>
      <c r="E62" s="6">
        <f t="shared" si="6"/>
        <v>5.0530101060202127E-3</v>
      </c>
      <c r="F62" s="6">
        <f t="shared" si="6"/>
        <v>3.0690061380122752E-3</v>
      </c>
      <c r="G62" s="6">
        <f t="shared" ref="G62:H62" si="8" xml:space="preserve"> (G11-G5)/32.258</f>
        <v>4.8050096100192207E-3</v>
      </c>
      <c r="H62" s="6">
        <f t="shared" si="8"/>
        <v>5.3630107260214492E-3</v>
      </c>
    </row>
    <row r="63" spans="1:8" x14ac:dyDescent="0.2">
      <c r="A63" s="3">
        <v>3</v>
      </c>
      <c r="B63" s="4">
        <v>10</v>
      </c>
      <c r="C63" s="6">
        <f t="shared" si="6"/>
        <v>4.3090086180172359E-3</v>
      </c>
      <c r="D63" s="6">
        <f t="shared" ref="D63" si="9" xml:space="preserve"> (D12-D6)/32.258</f>
        <v>5.2700105400210777E-3</v>
      </c>
      <c r="E63" s="6">
        <f t="shared" si="6"/>
        <v>5.0530101060202127E-3</v>
      </c>
      <c r="F63" s="6">
        <f t="shared" si="6"/>
        <v>3.0380060760121512E-3</v>
      </c>
      <c r="G63" s="6">
        <f t="shared" ref="G63:H63" si="10" xml:space="preserve"> (G12-G6)/32.258</f>
        <v>4.7430094860189693E-3</v>
      </c>
      <c r="H63" s="6">
        <f t="shared" si="10"/>
        <v>5.611011222022442E-3</v>
      </c>
    </row>
    <row r="64" spans="1:8" x14ac:dyDescent="0.2">
      <c r="A64" s="3">
        <v>4</v>
      </c>
      <c r="B64" s="4">
        <v>10</v>
      </c>
      <c r="C64" s="6">
        <f t="shared" si="6"/>
        <v>4.3400086800173604E-3</v>
      </c>
      <c r="D64" s="6">
        <f t="shared" ref="D64" si="11" xml:space="preserve"> (D13-D7)/32.258</f>
        <v>5.1770103540207052E-3</v>
      </c>
      <c r="E64" s="6">
        <f t="shared" si="6"/>
        <v>5.0220100440200883E-3</v>
      </c>
      <c r="F64" s="6">
        <f t="shared" si="6"/>
        <v>3.1930063860127712E-3</v>
      </c>
      <c r="G64" s="6">
        <f t="shared" ref="G64:H64" si="12" xml:space="preserve"> (G13-G7)/32.258</f>
        <v>4.9600099200198368E-3</v>
      </c>
      <c r="H64" s="6">
        <f t="shared" si="12"/>
        <v>5.7350114700229415E-3</v>
      </c>
    </row>
    <row r="65" spans="1:8" x14ac:dyDescent="0.2">
      <c r="A65" s="3">
        <v>5</v>
      </c>
      <c r="B65" s="4">
        <v>10</v>
      </c>
      <c r="C65" s="6">
        <f t="shared" si="6"/>
        <v>4.3400086800173604E-3</v>
      </c>
      <c r="D65" s="6">
        <f t="shared" ref="D65" si="13" xml:space="preserve"> (D14-D8)/32.258</f>
        <v>5.5800111600223211E-3</v>
      </c>
      <c r="E65" s="6">
        <f t="shared" si="6"/>
        <v>4.9600099200198368E-3</v>
      </c>
      <c r="F65" s="6">
        <f t="shared" si="6"/>
        <v>2.7900055800111588E-3</v>
      </c>
      <c r="G65" s="6">
        <f t="shared" ref="G65:H65" si="14" xml:space="preserve"> (G14-G8)/32.258</f>
        <v>5.2080104160208331E-3</v>
      </c>
      <c r="H65" s="6">
        <f t="shared" si="14"/>
        <v>5.0840101680203337E-3</v>
      </c>
    </row>
    <row r="66" spans="1:8" x14ac:dyDescent="0.2">
      <c r="A66" s="3"/>
      <c r="B66" s="4"/>
      <c r="C66" s="6"/>
      <c r="D66" s="6"/>
      <c r="E66" s="6"/>
      <c r="F66" s="6"/>
      <c r="G66" s="6"/>
      <c r="H66" s="6"/>
    </row>
    <row r="67" spans="1:8" x14ac:dyDescent="0.2">
      <c r="A67" s="3">
        <v>1</v>
      </c>
      <c r="B67" s="4">
        <v>20</v>
      </c>
      <c r="C67" s="6">
        <f t="shared" ref="C67:F71" si="15" xml:space="preserve"> (C16-C4)/32.258</f>
        <v>5.9830119660239335E-3</v>
      </c>
      <c r="D67" s="6">
        <f t="shared" si="15"/>
        <v>5.9210118420236785E-3</v>
      </c>
      <c r="E67" s="6">
        <f t="shared" si="15"/>
        <v>6.0450120900241815E-3</v>
      </c>
      <c r="F67" s="6">
        <f t="shared" si="15"/>
        <v>4.3710087420174839E-3</v>
      </c>
      <c r="G67" s="6">
        <f t="shared" ref="G67:H67" si="16" xml:space="preserve"> (G16-G4)/32.258</f>
        <v>5.3940107880215771E-3</v>
      </c>
      <c r="H67" s="6">
        <f t="shared" si="16"/>
        <v>6.1380122760245539E-3</v>
      </c>
    </row>
    <row r="68" spans="1:8" x14ac:dyDescent="0.2">
      <c r="A68" s="3">
        <v>2</v>
      </c>
      <c r="B68" s="4">
        <v>20</v>
      </c>
      <c r="C68" s="6">
        <f t="shared" si="15"/>
        <v>5.7660115320230651E-3</v>
      </c>
      <c r="D68" s="6">
        <f t="shared" si="15"/>
        <v>5.952011904023809E-3</v>
      </c>
      <c r="E68" s="6">
        <f t="shared" si="15"/>
        <v>5.8280116560233131E-3</v>
      </c>
      <c r="F68" s="6">
        <f t="shared" si="15"/>
        <v>4.1850083700167365E-3</v>
      </c>
      <c r="G68" s="6">
        <f t="shared" ref="G68:H68" si="17" xml:space="preserve"> (G17-G5)/32.258</f>
        <v>5.6420112840225656E-3</v>
      </c>
      <c r="H68" s="6">
        <f t="shared" si="17"/>
        <v>6.014012028024057E-3</v>
      </c>
    </row>
    <row r="69" spans="1:8" x14ac:dyDescent="0.2">
      <c r="A69" s="3">
        <v>3</v>
      </c>
      <c r="B69" s="4">
        <v>20</v>
      </c>
      <c r="C69" s="6">
        <f t="shared" si="15"/>
        <v>5.98301196602393E-3</v>
      </c>
      <c r="D69" s="6">
        <f t="shared" si="15"/>
        <v>6.045012090024178E-3</v>
      </c>
      <c r="E69" s="6">
        <f t="shared" si="15"/>
        <v>6.045012090024178E-3</v>
      </c>
      <c r="F69" s="6">
        <f t="shared" si="15"/>
        <v>4.3090086180172359E-3</v>
      </c>
      <c r="G69" s="6">
        <f t="shared" ref="G69:H69" si="18" xml:space="preserve"> (G18-G6)/32.258</f>
        <v>5.5490110980221941E-3</v>
      </c>
      <c r="H69" s="6">
        <f t="shared" si="18"/>
        <v>6.5410130820261628E-3</v>
      </c>
    </row>
    <row r="70" spans="1:8" x14ac:dyDescent="0.2">
      <c r="A70" s="3">
        <v>4</v>
      </c>
      <c r="B70" s="4">
        <v>20</v>
      </c>
      <c r="C70" s="6">
        <f t="shared" si="15"/>
        <v>5.67301134602269E-3</v>
      </c>
      <c r="D70" s="6">
        <f t="shared" si="15"/>
        <v>6.107012214024426E-3</v>
      </c>
      <c r="E70" s="6">
        <f t="shared" si="15"/>
        <v>5.98301196602393E-3</v>
      </c>
      <c r="F70" s="6">
        <f t="shared" si="15"/>
        <v>4.7120094240188449E-3</v>
      </c>
      <c r="G70" s="6">
        <f t="shared" ref="G70:H70" si="19" xml:space="preserve"> (G19-G7)/32.258</f>
        <v>5.7660115320230616E-3</v>
      </c>
      <c r="H70" s="6">
        <f t="shared" si="19"/>
        <v>6.4790129580259174E-3</v>
      </c>
    </row>
    <row r="71" spans="1:8" x14ac:dyDescent="0.2">
      <c r="A71" s="3">
        <v>5</v>
      </c>
      <c r="B71" s="4">
        <v>20</v>
      </c>
      <c r="C71" s="6">
        <f t="shared" si="15"/>
        <v>5.797011594023186E-3</v>
      </c>
      <c r="D71" s="6">
        <f t="shared" si="15"/>
        <v>6.6340132680265378E-3</v>
      </c>
      <c r="E71" s="6">
        <f t="shared" si="15"/>
        <v>5.8900117800235576E-3</v>
      </c>
      <c r="F71" s="6">
        <f t="shared" si="15"/>
        <v>4.2470084940169845E-3</v>
      </c>
      <c r="G71" s="6">
        <f t="shared" ref="G71:H71" si="20" xml:space="preserve"> (G20-G8)/32.258</f>
        <v>5.952011904023809E-3</v>
      </c>
      <c r="H71" s="6">
        <f t="shared" si="20"/>
        <v>6.2930125860251734E-3</v>
      </c>
    </row>
    <row r="72" spans="1:8" x14ac:dyDescent="0.2">
      <c r="A72" s="3"/>
      <c r="B72" s="4"/>
      <c r="C72" s="6"/>
      <c r="D72" s="6"/>
      <c r="E72" s="6"/>
      <c r="F72" s="6"/>
      <c r="G72" s="6"/>
      <c r="H72" s="6"/>
    </row>
    <row r="73" spans="1:8" x14ac:dyDescent="0.2">
      <c r="A73" s="3">
        <v>1</v>
      </c>
      <c r="B73" s="4">
        <v>30</v>
      </c>
      <c r="C73" s="6">
        <f t="shared" ref="C73:F77" si="21" xml:space="preserve"> (C22-C4)/32.258</f>
        <v>6.9130138260276542E-3</v>
      </c>
      <c r="D73" s="6">
        <f t="shared" si="21"/>
        <v>6.5410130820261593E-3</v>
      </c>
      <c r="E73" s="6">
        <f t="shared" si="21"/>
        <v>6.8510137020274062E-3</v>
      </c>
      <c r="F73" s="6">
        <f t="shared" si="21"/>
        <v>5.0840101680203337E-3</v>
      </c>
      <c r="G73" s="6">
        <f t="shared" ref="G73:H73" si="22" xml:space="preserve"> (G22-G4)/32.258</f>
        <v>6.045012090024178E-3</v>
      </c>
      <c r="H73" s="6">
        <f t="shared" si="22"/>
        <v>6.6960133920267858E-3</v>
      </c>
    </row>
    <row r="74" spans="1:8" x14ac:dyDescent="0.2">
      <c r="A74" s="3">
        <v>2</v>
      </c>
      <c r="B74" s="4">
        <v>30</v>
      </c>
      <c r="C74" s="6">
        <f t="shared" si="21"/>
        <v>6.6650133300266588E-3</v>
      </c>
      <c r="D74" s="6">
        <f t="shared" si="21"/>
        <v>6.6030132060264108E-3</v>
      </c>
      <c r="E74" s="6">
        <f t="shared" si="21"/>
        <v>6.5100130200260418E-3</v>
      </c>
      <c r="F74" s="6">
        <f t="shared" si="21"/>
        <v>4.7430094860189693E-3</v>
      </c>
      <c r="G74" s="6">
        <f t="shared" ref="G74:H74" si="23" xml:space="preserve"> (G23-G5)/32.258</f>
        <v>6.0140120280240544E-3</v>
      </c>
      <c r="H74" s="6">
        <f t="shared" si="23"/>
        <v>6.9130138260276508E-3</v>
      </c>
    </row>
    <row r="75" spans="1:8" x14ac:dyDescent="0.2">
      <c r="A75" s="3">
        <v>3</v>
      </c>
      <c r="B75" s="4">
        <v>30</v>
      </c>
      <c r="C75" s="6">
        <f t="shared" si="21"/>
        <v>6.7890135780271548E-3</v>
      </c>
      <c r="D75" s="6">
        <f t="shared" si="21"/>
        <v>6.8820137640275229E-3</v>
      </c>
      <c r="E75" s="6">
        <f t="shared" si="21"/>
        <v>6.7580135160270338E-3</v>
      </c>
      <c r="F75" s="6">
        <f t="shared" si="21"/>
        <v>5.2390104780209567E-3</v>
      </c>
      <c r="G75" s="6">
        <f t="shared" ref="G75:H75" si="24" xml:space="preserve"> (G24-G6)/32.258</f>
        <v>6.2000124000248019E-3</v>
      </c>
      <c r="H75" s="6">
        <f t="shared" si="24"/>
        <v>7.5330150660301316E-3</v>
      </c>
    </row>
    <row r="76" spans="1:8" x14ac:dyDescent="0.2">
      <c r="A76" s="3">
        <v>4</v>
      </c>
      <c r="B76" s="4">
        <v>30</v>
      </c>
      <c r="C76" s="6">
        <f t="shared" si="21"/>
        <v>6.3860127720255459E-3</v>
      </c>
      <c r="D76" s="6">
        <f t="shared" si="21"/>
        <v>6.8820137640275229E-3</v>
      </c>
      <c r="E76" s="6">
        <f t="shared" si="21"/>
        <v>6.6960133920267858E-3</v>
      </c>
      <c r="F76" s="6">
        <f t="shared" si="21"/>
        <v>5.9210118420236855E-3</v>
      </c>
      <c r="G76" s="6">
        <f t="shared" ref="G76:H76" si="25" xml:space="preserve"> (G25-G7)/32.258</f>
        <v>6.2620125240250464E-3</v>
      </c>
      <c r="H76" s="6">
        <f t="shared" si="25"/>
        <v>7.3470146940293902E-3</v>
      </c>
    </row>
    <row r="77" spans="1:8" x14ac:dyDescent="0.2">
      <c r="A77" s="3">
        <v>5</v>
      </c>
      <c r="B77" s="4">
        <v>30</v>
      </c>
      <c r="C77" s="6">
        <f t="shared" si="21"/>
        <v>6.5720131440262898E-3</v>
      </c>
      <c r="D77" s="6">
        <f t="shared" si="21"/>
        <v>7.4090148180296356E-3</v>
      </c>
      <c r="E77" s="6">
        <f t="shared" si="21"/>
        <v>6.4790129580259174E-3</v>
      </c>
      <c r="F77" s="6">
        <f t="shared" si="21"/>
        <v>5.4560109120218251E-3</v>
      </c>
      <c r="G77" s="6">
        <f t="shared" ref="G77:H77" si="26" xml:space="preserve"> (G26-G8)/32.258</f>
        <v>6.7580135160270338E-3</v>
      </c>
      <c r="H77" s="6">
        <f t="shared" si="26"/>
        <v>6.9750139500279022E-3</v>
      </c>
    </row>
    <row r="78" spans="1:8" x14ac:dyDescent="0.2">
      <c r="A78" s="3"/>
      <c r="B78" s="4"/>
      <c r="C78" s="6"/>
      <c r="D78" s="6"/>
      <c r="E78" s="6"/>
      <c r="F78" s="6"/>
      <c r="G78" s="6"/>
      <c r="H78" s="6"/>
    </row>
    <row r="79" spans="1:8" x14ac:dyDescent="0.2">
      <c r="A79" s="3">
        <v>1</v>
      </c>
      <c r="B79" s="4">
        <v>40</v>
      </c>
      <c r="C79" s="6">
        <f t="shared" ref="C79:F83" si="27" xml:space="preserve"> (C28-C4)/32.258</f>
        <v>7.5640151280302551E-3</v>
      </c>
      <c r="D79" s="6">
        <f t="shared" si="27"/>
        <v>6.9130138260276473E-3</v>
      </c>
      <c r="E79" s="6">
        <f t="shared" si="27"/>
        <v>7.1920143840287672E-3</v>
      </c>
      <c r="F79" s="6">
        <f t="shared" si="27"/>
        <v>5.6730113460226935E-3</v>
      </c>
      <c r="G79" s="6">
        <f t="shared" ref="G79:H79" si="28" xml:space="preserve"> (G28-G4)/32.258</f>
        <v>6.4480128960257939E-3</v>
      </c>
      <c r="H79" s="6">
        <f t="shared" si="28"/>
        <v>7.4710149420298836E-3</v>
      </c>
    </row>
    <row r="80" spans="1:8" x14ac:dyDescent="0.2">
      <c r="A80" s="3">
        <v>2</v>
      </c>
      <c r="B80" s="4">
        <v>40</v>
      </c>
      <c r="C80" s="6">
        <f t="shared" si="27"/>
        <v>7.5330150660301316E-3</v>
      </c>
      <c r="D80" s="6">
        <f t="shared" si="27"/>
        <v>7.2230144460288907E-3</v>
      </c>
      <c r="E80" s="6">
        <f t="shared" si="27"/>
        <v>6.8820137640275298E-3</v>
      </c>
      <c r="F80" s="6">
        <f t="shared" si="27"/>
        <v>5.2700105400210811E-3</v>
      </c>
      <c r="G80" s="6">
        <f t="shared" ref="G80:H80" si="29" xml:space="preserve"> (G29-G5)/32.258</f>
        <v>6.8820137640275263E-3</v>
      </c>
      <c r="H80" s="6">
        <f t="shared" si="29"/>
        <v>7.5330150660301316E-3</v>
      </c>
    </row>
    <row r="81" spans="1:8" x14ac:dyDescent="0.2">
      <c r="A81" s="3">
        <v>3</v>
      </c>
      <c r="B81" s="4">
        <v>40</v>
      </c>
      <c r="C81" s="6">
        <f t="shared" si="27"/>
        <v>7.6880153760307546E-3</v>
      </c>
      <c r="D81" s="6">
        <f t="shared" si="27"/>
        <v>7.5020150040300037E-3</v>
      </c>
      <c r="E81" s="6">
        <f t="shared" si="27"/>
        <v>7.1610143220286427E-3</v>
      </c>
      <c r="F81" s="6">
        <f t="shared" si="27"/>
        <v>6.0450120900241815E-3</v>
      </c>
      <c r="G81" s="6">
        <f t="shared" ref="G81:H81" si="30" xml:space="preserve"> (G30-G6)/32.258</f>
        <v>6.5410130820261628E-3</v>
      </c>
      <c r="H81" s="6">
        <f t="shared" si="30"/>
        <v>7.9050158100316195E-3</v>
      </c>
    </row>
    <row r="82" spans="1:8" x14ac:dyDescent="0.2">
      <c r="A82" s="3">
        <v>4</v>
      </c>
      <c r="B82" s="4">
        <v>40</v>
      </c>
      <c r="C82" s="6">
        <f t="shared" si="27"/>
        <v>7.1610143220286427E-3</v>
      </c>
      <c r="D82" s="6">
        <f t="shared" si="27"/>
        <v>7.1300142600285157E-3</v>
      </c>
      <c r="E82" s="6">
        <f t="shared" si="27"/>
        <v>6.9440138880277778E-3</v>
      </c>
      <c r="F82" s="6">
        <f t="shared" si="27"/>
        <v>7.0060140120280232E-3</v>
      </c>
      <c r="G82" s="6">
        <f t="shared" ref="G82:H82" si="31" xml:space="preserve"> (G31-G7)/32.258</f>
        <v>6.7580135160270303E-3</v>
      </c>
      <c r="H82" s="6">
        <f t="shared" si="31"/>
        <v>8.0600161200322391E-3</v>
      </c>
    </row>
    <row r="83" spans="1:8" x14ac:dyDescent="0.2">
      <c r="A83" s="3">
        <v>5</v>
      </c>
      <c r="B83" s="4">
        <v>40</v>
      </c>
      <c r="C83" s="6">
        <f t="shared" si="27"/>
        <v>7.5020150040300106E-3</v>
      </c>
      <c r="D83" s="6">
        <f t="shared" si="27"/>
        <v>7.7190154380308755E-3</v>
      </c>
      <c r="E83" s="6">
        <f t="shared" si="27"/>
        <v>7.1300142600285192E-3</v>
      </c>
      <c r="F83" s="6">
        <f t="shared" si="27"/>
        <v>6.3240126480252979E-3</v>
      </c>
      <c r="G83" s="6">
        <f t="shared" ref="G83:H83" si="32" xml:space="preserve"> (G32-G8)/32.258</f>
        <v>7.3780147560295146E-3</v>
      </c>
      <c r="H83" s="6">
        <f t="shared" si="32"/>
        <v>7.8120156240312471E-3</v>
      </c>
    </row>
    <row r="84" spans="1:8" x14ac:dyDescent="0.2">
      <c r="A84" s="3"/>
      <c r="B84" s="4"/>
      <c r="C84" s="6"/>
      <c r="D84" s="6"/>
      <c r="E84" s="6"/>
      <c r="F84" s="6"/>
      <c r="G84" s="6"/>
      <c r="H84" s="6"/>
    </row>
    <row r="85" spans="1:8" x14ac:dyDescent="0.2">
      <c r="A85" s="3">
        <v>1</v>
      </c>
      <c r="B85" s="4">
        <v>50</v>
      </c>
      <c r="C85" s="6">
        <f t="shared" ref="C85:F89" si="33" xml:space="preserve"> (C34-C4)/32.258</f>
        <v>8.2150164300328638E-3</v>
      </c>
      <c r="D85" s="6">
        <f t="shared" si="33"/>
        <v>7.4400148800297591E-3</v>
      </c>
      <c r="E85" s="6">
        <f t="shared" si="33"/>
        <v>7.533015066030135E-3</v>
      </c>
      <c r="F85" s="6">
        <f t="shared" si="33"/>
        <v>6.3860127720255424E-3</v>
      </c>
      <c r="G85" s="6">
        <f t="shared" ref="G85:H85" si="34" xml:space="preserve"> (G34-G4)/32.258</f>
        <v>6.8510137020274028E-3</v>
      </c>
      <c r="H85" s="6">
        <f t="shared" si="34"/>
        <v>7.7500155000310026E-3</v>
      </c>
    </row>
    <row r="86" spans="1:8" x14ac:dyDescent="0.2">
      <c r="A86" s="3">
        <v>2</v>
      </c>
      <c r="B86" s="4">
        <v>50</v>
      </c>
      <c r="C86" s="6">
        <f t="shared" si="33"/>
        <v>8.1220162440324914E-3</v>
      </c>
      <c r="D86" s="6">
        <f t="shared" si="33"/>
        <v>7.5330150660301316E-3</v>
      </c>
      <c r="E86" s="6">
        <f t="shared" si="33"/>
        <v>7.1610143220286427E-3</v>
      </c>
      <c r="F86" s="6">
        <f t="shared" si="33"/>
        <v>5.8900117800235611E-3</v>
      </c>
      <c r="G86" s="6">
        <f t="shared" ref="G86:H86" si="35" xml:space="preserve"> (G35-G5)/32.258</f>
        <v>6.9130138260276542E-3</v>
      </c>
      <c r="H86" s="6">
        <f t="shared" si="35"/>
        <v>7.7190154380308755E-3</v>
      </c>
    </row>
    <row r="87" spans="1:8" x14ac:dyDescent="0.2">
      <c r="A87" s="3">
        <v>3</v>
      </c>
      <c r="B87" s="4">
        <v>50</v>
      </c>
      <c r="C87" s="6">
        <f t="shared" si="33"/>
        <v>8.6180172360344684E-3</v>
      </c>
      <c r="D87" s="6">
        <f t="shared" si="33"/>
        <v>7.9670159340318684E-3</v>
      </c>
      <c r="E87" s="6">
        <f t="shared" si="33"/>
        <v>7.7190154380308755E-3</v>
      </c>
      <c r="F87" s="6">
        <f t="shared" si="33"/>
        <v>6.7580135160270303E-3</v>
      </c>
      <c r="G87" s="6">
        <f t="shared" ref="G87:H87" si="36" xml:space="preserve"> (G36-G6)/32.258</f>
        <v>6.9440138880277778E-3</v>
      </c>
      <c r="H87" s="6">
        <f t="shared" si="36"/>
        <v>8.3700167400334834E-3</v>
      </c>
    </row>
    <row r="88" spans="1:8" x14ac:dyDescent="0.2">
      <c r="A88" s="3">
        <v>4</v>
      </c>
      <c r="B88" s="4">
        <v>50</v>
      </c>
      <c r="C88" s="6">
        <f t="shared" si="33"/>
        <v>7.8430156860313707E-3</v>
      </c>
      <c r="D88" s="6">
        <f t="shared" si="33"/>
        <v>7.5950151900303796E-3</v>
      </c>
      <c r="E88" s="6">
        <f t="shared" si="33"/>
        <v>7.5020150040300106E-3</v>
      </c>
      <c r="F88" s="6">
        <f t="shared" si="33"/>
        <v>8.0910161820323609E-3</v>
      </c>
      <c r="G88" s="6">
        <f t="shared" ref="G88:H88" si="37" xml:space="preserve"> (G37-G7)/32.258</f>
        <v>7.657015314030631E-3</v>
      </c>
      <c r="H88" s="6">
        <f t="shared" si="37"/>
        <v>8.5560171120342247E-3</v>
      </c>
    </row>
    <row r="89" spans="1:8" x14ac:dyDescent="0.2">
      <c r="A89" s="3">
        <v>5</v>
      </c>
      <c r="B89" s="4">
        <v>50</v>
      </c>
      <c r="C89" s="6">
        <f t="shared" si="33"/>
        <v>8.1220162440324914E-3</v>
      </c>
      <c r="D89" s="6">
        <f t="shared" si="33"/>
        <v>8.4630169260338523E-3</v>
      </c>
      <c r="E89" s="6">
        <f t="shared" si="33"/>
        <v>7.5020150040300071E-3</v>
      </c>
      <c r="F89" s="6">
        <f t="shared" si="33"/>
        <v>7.3470146940293867E-3</v>
      </c>
      <c r="G89" s="6">
        <f t="shared" ref="G89:H89" si="38" xml:space="preserve"> (G38-G8)/32.258</f>
        <v>8.2460164920329874E-3</v>
      </c>
      <c r="H89" s="6">
        <f t="shared" si="38"/>
        <v>8.153016306032615E-3</v>
      </c>
    </row>
    <row r="90" spans="1:8" x14ac:dyDescent="0.2">
      <c r="A90" s="3"/>
      <c r="B90" s="4"/>
      <c r="C90" s="6"/>
      <c r="D90" s="6"/>
      <c r="E90" s="6"/>
      <c r="F90" s="6"/>
      <c r="G90" s="6"/>
      <c r="H90" s="6"/>
    </row>
    <row r="91" spans="1:8" x14ac:dyDescent="0.2">
      <c r="A91" s="3">
        <v>1</v>
      </c>
      <c r="B91" s="4">
        <v>60</v>
      </c>
      <c r="C91" s="6">
        <f t="shared" ref="C91:F95" si="39" xml:space="preserve"> (C40-C4)/32.258</f>
        <v>9.3000186000372007E-3</v>
      </c>
      <c r="D91" s="6">
        <f t="shared" si="39"/>
        <v>7.7190154380308721E-3</v>
      </c>
      <c r="E91" s="6">
        <f t="shared" si="39"/>
        <v>8.153016306032615E-3</v>
      </c>
      <c r="F91" s="6">
        <f t="shared" si="39"/>
        <v>6.8510137020274062E-3</v>
      </c>
      <c r="G91" s="6">
        <f t="shared" ref="G91:H91" si="40" xml:space="preserve"> (G40-G4)/32.258</f>
        <v>7.1300142600285226E-3</v>
      </c>
      <c r="H91" s="6">
        <f t="shared" si="40"/>
        <v>8.1220162440324914E-3</v>
      </c>
    </row>
    <row r="92" spans="1:8" x14ac:dyDescent="0.2">
      <c r="A92" s="3">
        <v>2</v>
      </c>
      <c r="B92" s="4">
        <v>60</v>
      </c>
      <c r="C92" s="6">
        <f t="shared" si="39"/>
        <v>9.0210180420360851E-3</v>
      </c>
      <c r="D92" s="6">
        <f t="shared" si="39"/>
        <v>7.8430156860313707E-3</v>
      </c>
      <c r="E92" s="6">
        <f t="shared" si="39"/>
        <v>7.6570153140306275E-3</v>
      </c>
      <c r="F92" s="6">
        <f t="shared" si="39"/>
        <v>6.5410130820261628E-3</v>
      </c>
      <c r="G92" s="6">
        <f t="shared" ref="G92:H92" si="41" xml:space="preserve"> (G41-G5)/32.258</f>
        <v>7.657015314030631E-3</v>
      </c>
      <c r="H92" s="6">
        <f t="shared" si="41"/>
        <v>8.0600161200322425E-3</v>
      </c>
    </row>
    <row r="93" spans="1:8" x14ac:dyDescent="0.2">
      <c r="A93" s="3">
        <v>3</v>
      </c>
      <c r="B93" s="4">
        <v>60</v>
      </c>
      <c r="C93" s="6">
        <f t="shared" si="39"/>
        <v>9.5170190340380691E-3</v>
      </c>
      <c r="D93" s="6">
        <f t="shared" si="39"/>
        <v>8.0290160580321155E-3</v>
      </c>
      <c r="E93" s="6">
        <f t="shared" si="39"/>
        <v>8.2150164300328603E-3</v>
      </c>
      <c r="F93" s="6">
        <f t="shared" si="39"/>
        <v>7.4710149420298801E-3</v>
      </c>
      <c r="G93" s="6">
        <f t="shared" ref="G93:H93" si="42" xml:space="preserve"> (G42-G6)/32.258</f>
        <v>7.4710149420298836E-3</v>
      </c>
      <c r="H93" s="6">
        <f t="shared" si="42"/>
        <v>8.7730175460350914E-3</v>
      </c>
    </row>
    <row r="94" spans="1:8" x14ac:dyDescent="0.2">
      <c r="A94" s="3">
        <v>4</v>
      </c>
      <c r="B94" s="4">
        <v>60</v>
      </c>
      <c r="C94" s="6">
        <f t="shared" si="39"/>
        <v>8.2460164920329874E-3</v>
      </c>
      <c r="D94" s="6">
        <f t="shared" si="39"/>
        <v>8.0290160580321155E-3</v>
      </c>
      <c r="E94" s="6">
        <f t="shared" si="39"/>
        <v>7.7190154380308755E-3</v>
      </c>
      <c r="F94" s="6">
        <f t="shared" si="39"/>
        <v>9.2690185380370736E-3</v>
      </c>
      <c r="G94" s="6">
        <f t="shared" ref="G94:H94" si="43" xml:space="preserve"> (G43-G7)/32.258</f>
        <v>7.9360158720317431E-3</v>
      </c>
      <c r="H94" s="6">
        <f t="shared" si="43"/>
        <v>9.1760183520367047E-3</v>
      </c>
    </row>
    <row r="95" spans="1:8" x14ac:dyDescent="0.2">
      <c r="A95" s="3">
        <v>5</v>
      </c>
      <c r="B95" s="4">
        <v>60</v>
      </c>
      <c r="C95" s="6">
        <f t="shared" si="39"/>
        <v>8.4940169880339724E-3</v>
      </c>
      <c r="D95" s="6">
        <f t="shared" si="39"/>
        <v>9.0210180420360851E-3</v>
      </c>
      <c r="E95" s="6">
        <f t="shared" si="39"/>
        <v>7.874015748031496E-3</v>
      </c>
      <c r="F95" s="6">
        <f t="shared" si="39"/>
        <v>8.3700167400334764E-3</v>
      </c>
      <c r="G95" s="6">
        <f t="shared" ref="G95:H95" si="44" xml:space="preserve"> (G44-G8)/32.258</f>
        <v>7.9050158100316195E-3</v>
      </c>
      <c r="H95" s="6">
        <f t="shared" si="44"/>
        <v>8.649017298034592E-3</v>
      </c>
    </row>
    <row r="96" spans="1:8" x14ac:dyDescent="0.2">
      <c r="A96" s="3"/>
      <c r="B96" s="4"/>
      <c r="C96" s="6"/>
      <c r="D96" s="6"/>
      <c r="E96" s="6"/>
      <c r="F96" s="6"/>
    </row>
    <row r="97" spans="1:8" x14ac:dyDescent="0.2">
      <c r="A97" s="3"/>
      <c r="B97" s="4"/>
      <c r="C97" s="6"/>
      <c r="D97" s="6"/>
      <c r="E97" s="6"/>
      <c r="F97" s="6"/>
    </row>
    <row r="98" spans="1:8" x14ac:dyDescent="0.2">
      <c r="A98" s="3"/>
      <c r="B98" s="4"/>
      <c r="C98" s="6"/>
      <c r="D98" s="6"/>
      <c r="E98" s="6"/>
      <c r="F98" s="6"/>
    </row>
    <row r="99" spans="1:8" x14ac:dyDescent="0.2">
      <c r="A99" s="3"/>
      <c r="B99" s="4"/>
      <c r="C99" s="6"/>
      <c r="D99" s="6"/>
      <c r="E99" s="6"/>
      <c r="F99" s="6"/>
    </row>
    <row r="100" spans="1:8" x14ac:dyDescent="0.2">
      <c r="A100" s="3"/>
      <c r="B100" s="4"/>
      <c r="C100" s="6"/>
      <c r="D100" s="6"/>
      <c r="E100" s="6"/>
      <c r="F100" s="6"/>
    </row>
    <row r="101" spans="1:8" x14ac:dyDescent="0.2">
      <c r="A101" s="3"/>
      <c r="B101" s="4"/>
      <c r="C101" s="6"/>
      <c r="D101" s="6"/>
      <c r="E101" s="6"/>
      <c r="F101" s="6"/>
    </row>
    <row r="102" spans="1:8" x14ac:dyDescent="0.2">
      <c r="A102" s="3"/>
      <c r="B102" s="4"/>
      <c r="C102" s="4"/>
      <c r="D102" s="4"/>
      <c r="E102" s="4"/>
      <c r="F102" s="4"/>
    </row>
    <row r="103" spans="1:8" x14ac:dyDescent="0.2">
      <c r="A103" s="3"/>
      <c r="B103" s="4"/>
      <c r="C103" s="4"/>
      <c r="D103" s="4"/>
      <c r="E103" s="4"/>
      <c r="F103" s="4"/>
    </row>
    <row r="104" spans="1:8" x14ac:dyDescent="0.2">
      <c r="A104" s="7" t="s">
        <v>19</v>
      </c>
      <c r="B104" s="7"/>
      <c r="C104" s="2"/>
      <c r="D104" s="2"/>
      <c r="E104" s="2"/>
      <c r="F104" s="1"/>
    </row>
    <row r="105" spans="1:8" ht="51" x14ac:dyDescent="0.2">
      <c r="A105" s="1"/>
      <c r="B105" s="2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2" t="s">
        <v>17</v>
      </c>
      <c r="H105" s="13" t="s">
        <v>18</v>
      </c>
    </row>
    <row r="106" spans="1:8" x14ac:dyDescent="0.2">
      <c r="A106" s="3"/>
      <c r="B106" s="4">
        <v>0</v>
      </c>
      <c r="C106" s="21">
        <f t="shared" ref="C106:F106" si="45" xml:space="preserve"> AVERAGE(C55:C59)*10000</f>
        <v>0</v>
      </c>
      <c r="D106" s="21">
        <f t="shared" si="45"/>
        <v>0</v>
      </c>
      <c r="E106" s="21">
        <f t="shared" si="45"/>
        <v>0</v>
      </c>
      <c r="F106" s="21">
        <f t="shared" si="45"/>
        <v>0</v>
      </c>
      <c r="G106" s="21">
        <f t="shared" ref="G106:H106" si="46" xml:space="preserve"> AVERAGE(G55:G59)*10000</f>
        <v>0</v>
      </c>
      <c r="H106" s="21">
        <f t="shared" si="46"/>
        <v>0</v>
      </c>
    </row>
    <row r="107" spans="1:8" x14ac:dyDescent="0.2">
      <c r="A107" s="3"/>
      <c r="B107" s="4">
        <v>10</v>
      </c>
      <c r="C107" s="21">
        <f t="shared" ref="C107:F107" si="47" xml:space="preserve"> AVERAGE(C61:C65)*10000</f>
        <v>42.966085932171865</v>
      </c>
      <c r="D107" s="21">
        <f t="shared" si="47"/>
        <v>51.894103788207559</v>
      </c>
      <c r="E107" s="21">
        <f t="shared" si="47"/>
        <v>50.778101556203111</v>
      </c>
      <c r="F107" s="21">
        <f t="shared" si="47"/>
        <v>30.566061132122254</v>
      </c>
      <c r="G107" s="21">
        <f t="shared" ref="G107:H107" si="48" xml:space="preserve"> AVERAGE(G61:G65)*10000</f>
        <v>49.290098580197139</v>
      </c>
      <c r="H107" s="21">
        <f t="shared" si="48"/>
        <v>54.188108376216739</v>
      </c>
    </row>
    <row r="108" spans="1:8" x14ac:dyDescent="0.2">
      <c r="A108" s="3"/>
      <c r="B108" s="4">
        <v>20</v>
      </c>
      <c r="C108" s="21">
        <f t="shared" ref="C108:F108" si="49" xml:space="preserve"> AVERAGE(C67:C71)*10000</f>
        <v>58.404116808233603</v>
      </c>
      <c r="D108" s="21">
        <f t="shared" si="49"/>
        <v>61.318122636245256</v>
      </c>
      <c r="E108" s="21">
        <f t="shared" si="49"/>
        <v>59.582119164238321</v>
      </c>
      <c r="F108" s="21">
        <f t="shared" si="49"/>
        <v>43.648087296174573</v>
      </c>
      <c r="G108" s="21">
        <f t="shared" ref="G108:H108" si="50" xml:space="preserve"> AVERAGE(G67:G71)*10000</f>
        <v>56.606113212226418</v>
      </c>
      <c r="H108" s="21">
        <f t="shared" si="50"/>
        <v>62.930125860251735</v>
      </c>
    </row>
    <row r="109" spans="1:8" x14ac:dyDescent="0.2">
      <c r="A109" s="3"/>
      <c r="B109" s="4">
        <v>30</v>
      </c>
      <c r="C109" s="21">
        <f t="shared" ref="C109:F109" si="51" xml:space="preserve"> AVERAGE(C73:C77)*10000</f>
        <v>66.650133300266617</v>
      </c>
      <c r="D109" s="21">
        <f t="shared" si="51"/>
        <v>68.6341372682745</v>
      </c>
      <c r="E109" s="21">
        <f t="shared" si="51"/>
        <v>66.588133176266368</v>
      </c>
      <c r="F109" s="21">
        <f t="shared" si="51"/>
        <v>52.886105772211536</v>
      </c>
      <c r="G109" s="21">
        <f t="shared" ref="G109:H109" si="52" xml:space="preserve"> AVERAGE(G73:G77)*10000</f>
        <v>62.558125116250224</v>
      </c>
      <c r="H109" s="21">
        <f t="shared" si="52"/>
        <v>70.928141856283716</v>
      </c>
    </row>
    <row r="110" spans="1:8" x14ac:dyDescent="0.2">
      <c r="A110" s="3"/>
      <c r="B110" s="4">
        <v>40</v>
      </c>
      <c r="C110" s="21">
        <f t="shared" ref="C110:F110" si="53" xml:space="preserve"> AVERAGE(C79:C83)*10000</f>
        <v>74.896149792299596</v>
      </c>
      <c r="D110" s="21">
        <f t="shared" si="53"/>
        <v>72.974145948291863</v>
      </c>
      <c r="E110" s="21">
        <f t="shared" si="53"/>
        <v>70.618141236282483</v>
      </c>
      <c r="F110" s="21">
        <f t="shared" si="53"/>
        <v>60.636121272242548</v>
      </c>
      <c r="G110" s="21">
        <f t="shared" ref="G110:H110" si="54" xml:space="preserve"> AVERAGE(G79:G83)*10000</f>
        <v>68.014136028272063</v>
      </c>
      <c r="H110" s="21">
        <f t="shared" si="54"/>
        <v>77.562155124310252</v>
      </c>
    </row>
    <row r="111" spans="1:8" x14ac:dyDescent="0.2">
      <c r="A111" s="3"/>
      <c r="B111" s="4">
        <v>50</v>
      </c>
      <c r="C111" s="21">
        <f t="shared" ref="C111:F111" si="55" xml:space="preserve"> AVERAGE(C85:C89)*10000</f>
        <v>81.840163680327365</v>
      </c>
      <c r="D111" s="21">
        <f t="shared" si="55"/>
        <v>77.996155992311984</v>
      </c>
      <c r="E111" s="21">
        <f t="shared" si="55"/>
        <v>74.834149668299332</v>
      </c>
      <c r="F111" s="21">
        <f t="shared" si="55"/>
        <v>68.944137888275762</v>
      </c>
      <c r="G111" s="21">
        <f t="shared" ref="G111:H111" si="56" xml:space="preserve"> AVERAGE(G85:G89)*10000</f>
        <v>73.222146444292903</v>
      </c>
      <c r="H111" s="21">
        <f t="shared" si="56"/>
        <v>81.096162192324414</v>
      </c>
    </row>
    <row r="112" spans="1:8" x14ac:dyDescent="0.2">
      <c r="A112" s="3"/>
      <c r="B112" s="4">
        <v>60</v>
      </c>
      <c r="C112" s="21">
        <f t="shared" ref="C112:F112" si="57" xml:space="preserve"> AVERAGE(C91:C95)*10000</f>
        <v>89.15617831235663</v>
      </c>
      <c r="D112" s="21">
        <f t="shared" si="57"/>
        <v>81.28216256432512</v>
      </c>
      <c r="E112" s="21">
        <f t="shared" si="57"/>
        <v>79.236158472316944</v>
      </c>
      <c r="F112" s="21">
        <f t="shared" si="57"/>
        <v>77.004154008307992</v>
      </c>
      <c r="G112" s="21">
        <f t="shared" ref="G112:H112" si="58" xml:space="preserve"> AVERAGE(G91:G95)*10000</f>
        <v>76.198152396304792</v>
      </c>
      <c r="H112" s="21">
        <f t="shared" si="58"/>
        <v>85.560171120342247</v>
      </c>
    </row>
    <row r="113" spans="1:8" x14ac:dyDescent="0.2">
      <c r="A113" s="3"/>
      <c r="B113" s="4"/>
      <c r="C113" s="21"/>
      <c r="D113" s="21"/>
      <c r="E113" s="6"/>
      <c r="F113" s="6"/>
    </row>
    <row r="114" spans="1:8" x14ac:dyDescent="0.2">
      <c r="A114" s="3"/>
      <c r="B114" s="4"/>
      <c r="C114" s="6"/>
      <c r="D114" s="6"/>
      <c r="E114" s="6"/>
      <c r="F114" s="6"/>
    </row>
    <row r="115" spans="1:8" x14ac:dyDescent="0.2">
      <c r="A115" s="3"/>
      <c r="B115" s="4"/>
      <c r="C115" s="6"/>
      <c r="D115" s="6"/>
      <c r="E115" s="6"/>
      <c r="F115" s="6"/>
    </row>
    <row r="116" spans="1:8" x14ac:dyDescent="0.2">
      <c r="A116" s="7" t="s">
        <v>20</v>
      </c>
      <c r="B116" s="7"/>
      <c r="C116" s="8"/>
      <c r="D116" s="8"/>
      <c r="E116" s="8"/>
      <c r="F116" s="22"/>
    </row>
    <row r="117" spans="1:8" ht="51" x14ac:dyDescent="0.2">
      <c r="A117" s="1"/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17</v>
      </c>
      <c r="H117" s="13" t="s">
        <v>18</v>
      </c>
    </row>
    <row r="118" spans="1:8" x14ac:dyDescent="0.2">
      <c r="A118" s="3"/>
      <c r="B118" s="4">
        <v>0</v>
      </c>
      <c r="C118" s="23">
        <f t="shared" ref="C118:F118" si="59" xml:space="preserve"> STDEV(C55:C59)*10000</f>
        <v>0</v>
      </c>
      <c r="D118" s="23">
        <f t="shared" si="59"/>
        <v>0</v>
      </c>
      <c r="E118" s="23">
        <f t="shared" si="59"/>
        <v>0</v>
      </c>
      <c r="F118" s="23">
        <f t="shared" si="59"/>
        <v>0</v>
      </c>
      <c r="G118" s="23">
        <f t="shared" ref="G118:H118" si="60" xml:space="preserve"> STDEV(G55:G59)*10000</f>
        <v>0</v>
      </c>
      <c r="H118" s="23">
        <f t="shared" si="60"/>
        <v>0</v>
      </c>
    </row>
    <row r="119" spans="1:8" x14ac:dyDescent="0.2">
      <c r="A119" s="3"/>
      <c r="B119" s="4">
        <v>10</v>
      </c>
      <c r="C119" s="23">
        <f t="shared" ref="C119:F119" si="61" xml:space="preserve"> STDEV(C61:C65)*10000</f>
        <v>0.80838271501056203</v>
      </c>
      <c r="D119" s="23">
        <f t="shared" si="61"/>
        <v>2.5713238704603874</v>
      </c>
      <c r="E119" s="23">
        <f t="shared" si="61"/>
        <v>1.3042150144437212</v>
      </c>
      <c r="F119" s="23">
        <f t="shared" si="61"/>
        <v>1.6491333719722734</v>
      </c>
      <c r="G119" s="23">
        <f t="shared" ref="G119:H119" si="62" xml:space="preserve"> STDEV(G61:G65)*10000</f>
        <v>1.7942583084491108</v>
      </c>
      <c r="H119" s="23">
        <f t="shared" si="62"/>
        <v>2.5787878161182376</v>
      </c>
    </row>
    <row r="120" spans="1:8" x14ac:dyDescent="0.2">
      <c r="A120" s="3"/>
      <c r="B120" s="4">
        <v>20</v>
      </c>
      <c r="C120" s="23">
        <f t="shared" ref="C120:F120" si="63" xml:space="preserve"> STDEV(C67:C71)*10000</f>
        <v>1.3794156774311528</v>
      </c>
      <c r="D120" s="23">
        <f t="shared" si="63"/>
        <v>2.9031024287787779</v>
      </c>
      <c r="E120" s="23">
        <f t="shared" si="63"/>
        <v>0.96549144413152754</v>
      </c>
      <c r="F120" s="23">
        <f t="shared" si="63"/>
        <v>2.0609796191449758</v>
      </c>
      <c r="G120" s="23">
        <f t="shared" ref="G120:H120" si="64" xml:space="preserve"> STDEV(G67:G71)*10000</f>
        <v>2.120730532145461</v>
      </c>
      <c r="H120" s="23">
        <f t="shared" si="64"/>
        <v>2.2246729639790561</v>
      </c>
    </row>
    <row r="121" spans="1:8" x14ac:dyDescent="0.2">
      <c r="A121" s="3"/>
      <c r="B121" s="4">
        <v>30</v>
      </c>
      <c r="C121" s="23">
        <f t="shared" ref="C121:F121" si="65" xml:space="preserve"> STDEV(C73:C77)*10000</f>
        <v>2.0209567875263925</v>
      </c>
      <c r="D121" s="23">
        <f t="shared" si="65"/>
        <v>3.4282760991876233</v>
      </c>
      <c r="E121" s="23">
        <f t="shared" si="65"/>
        <v>1.6018365283357721</v>
      </c>
      <c r="F121" s="23">
        <f t="shared" si="65"/>
        <v>4.3873576325108417</v>
      </c>
      <c r="G121" s="23">
        <f t="shared" ref="G121:H121" si="66" xml:space="preserve"> STDEV(G73:G77)*10000</f>
        <v>2.9927505452656025</v>
      </c>
      <c r="H121" s="23">
        <f t="shared" si="66"/>
        <v>3.3987153756998532</v>
      </c>
    </row>
    <row r="122" spans="1:8" x14ac:dyDescent="0.2">
      <c r="A122" s="3"/>
      <c r="B122" s="4">
        <v>40</v>
      </c>
      <c r="C122" s="23">
        <f t="shared" ref="C122:F122" si="67" xml:space="preserve"> STDEV(C79:C83)*10000</f>
        <v>1.9679546466741855</v>
      </c>
      <c r="D122" s="23">
        <f t="shared" si="67"/>
        <v>3.1659548469680292</v>
      </c>
      <c r="E122" s="23">
        <f t="shared" si="67"/>
        <v>1.3932794999221274</v>
      </c>
      <c r="F122" s="23">
        <f t="shared" si="67"/>
        <v>6.5928904028992861</v>
      </c>
      <c r="G122" s="23">
        <f t="shared" ref="G122:H122" si="68" xml:space="preserve"> STDEV(G79:G83)*10000</f>
        <v>3.6522230702518872</v>
      </c>
      <c r="H122" s="23">
        <f t="shared" si="68"/>
        <v>2.4935306035327902</v>
      </c>
    </row>
    <row r="123" spans="1:8" x14ac:dyDescent="0.2">
      <c r="A123" s="3"/>
      <c r="B123" s="4">
        <v>50</v>
      </c>
      <c r="C123" s="23">
        <f t="shared" ref="C123:F123" si="69" xml:space="preserve"> STDEV(C85:C89)*10000</f>
        <v>2.7986034604234158</v>
      </c>
      <c r="D123" s="23">
        <f t="shared" si="69"/>
        <v>4.2141845044246882</v>
      </c>
      <c r="E123" s="23">
        <f t="shared" si="69"/>
        <v>2.0161959875391093</v>
      </c>
      <c r="F123" s="23">
        <f t="shared" si="69"/>
        <v>8.5478138877842067</v>
      </c>
      <c r="G123" s="23">
        <f t="shared" ref="G123:H123" si="70" xml:space="preserve"> STDEV(G85:G89)*10000</f>
        <v>6.1196666413399967</v>
      </c>
      <c r="H123" s="23">
        <f t="shared" si="70"/>
        <v>3.7109547403175482</v>
      </c>
    </row>
    <row r="124" spans="1:8" x14ac:dyDescent="0.2">
      <c r="A124" s="3"/>
      <c r="B124" s="4">
        <v>60</v>
      </c>
      <c r="C124" s="23">
        <f t="shared" ref="C124:F124" si="71" xml:space="preserve"> STDEV(C91:C95)*10000</f>
        <v>5.3541334188516458</v>
      </c>
      <c r="D124" s="23">
        <f t="shared" si="71"/>
        <v>5.1613008588920506</v>
      </c>
      <c r="E124" s="23">
        <f t="shared" si="71"/>
        <v>2.5146382033198993</v>
      </c>
      <c r="F124" s="23">
        <f t="shared" si="71"/>
        <v>11.210712855114428</v>
      </c>
      <c r="G124" s="23">
        <f t="shared" ref="G124:H124" si="72" xml:space="preserve"> STDEV(G91:G95)*10000</f>
        <v>3.3344886377394278</v>
      </c>
      <c r="H124" s="23">
        <f t="shared" si="72"/>
        <v>4.6757713215321184</v>
      </c>
    </row>
    <row r="125" spans="1:8" x14ac:dyDescent="0.2">
      <c r="A125" s="3"/>
      <c r="B125" s="4"/>
      <c r="C125" s="23"/>
      <c r="D125" s="23"/>
      <c r="E125" s="23"/>
      <c r="F125" s="23"/>
    </row>
    <row r="126" spans="1:8" x14ac:dyDescent="0.2">
      <c r="A126" s="3"/>
      <c r="B126" s="4"/>
      <c r="C126" s="4"/>
      <c r="D126" s="4"/>
      <c r="E126" s="4"/>
      <c r="F126" s="4"/>
    </row>
    <row r="127" spans="1:8" x14ac:dyDescent="0.2">
      <c r="A127" s="3"/>
      <c r="B127" s="4"/>
      <c r="C127" s="4"/>
      <c r="D127" s="4"/>
      <c r="E127" s="4"/>
      <c r="F127" s="4"/>
    </row>
    <row r="128" spans="1:8" x14ac:dyDescent="0.2">
      <c r="A128" s="7" t="s">
        <v>21</v>
      </c>
      <c r="B128" s="7"/>
      <c r="C128" s="2"/>
      <c r="D128" s="2"/>
      <c r="E128" s="2"/>
      <c r="F128" s="1"/>
    </row>
    <row r="129" spans="1:8" ht="51" x14ac:dyDescent="0.2">
      <c r="A129" s="1"/>
      <c r="B129" s="2" t="s">
        <v>1</v>
      </c>
      <c r="C129" s="2" t="s">
        <v>2</v>
      </c>
      <c r="D129" s="2" t="s">
        <v>3</v>
      </c>
      <c r="E129" s="2" t="s">
        <v>4</v>
      </c>
      <c r="F129" s="2" t="s">
        <v>5</v>
      </c>
      <c r="G129" s="2" t="s">
        <v>17</v>
      </c>
      <c r="H129" s="13" t="s">
        <v>18</v>
      </c>
    </row>
    <row r="130" spans="1:8" x14ac:dyDescent="0.2">
      <c r="A130" s="3"/>
      <c r="B130" s="4">
        <v>0</v>
      </c>
      <c r="C130" s="6">
        <f t="shared" ref="C130:F130" si="73">AVERAGE(C55:C59)*25.8/AVERAGE(C4:C8)</f>
        <v>0</v>
      </c>
      <c r="D130" s="6">
        <f t="shared" si="73"/>
        <v>0</v>
      </c>
      <c r="E130" s="6">
        <f t="shared" si="73"/>
        <v>0</v>
      </c>
      <c r="F130" s="6">
        <f t="shared" si="73"/>
        <v>0</v>
      </c>
      <c r="G130" s="6">
        <f t="shared" ref="G130:H130" si="74">AVERAGE(G55:G59)*25.8/AVERAGE(G4:G8)</f>
        <v>0</v>
      </c>
      <c r="H130" s="6">
        <f t="shared" si="74"/>
        <v>0</v>
      </c>
    </row>
    <row r="131" spans="1:8" x14ac:dyDescent="0.2">
      <c r="A131" s="3"/>
      <c r="B131" s="4">
        <v>10</v>
      </c>
      <c r="C131" s="6">
        <f t="shared" ref="C131:F131" si="75">AVERAGE(C61:C65)*25.8/AVERAGE(C4:C8)</f>
        <v>0.13062986295663848</v>
      </c>
      <c r="D131" s="6">
        <f t="shared" si="75"/>
        <v>0.16335625643432833</v>
      </c>
      <c r="E131" s="6">
        <f t="shared" si="75"/>
        <v>0.15738527392480059</v>
      </c>
      <c r="F131" s="6">
        <f t="shared" si="75"/>
        <v>8.9107839232627592E-2</v>
      </c>
      <c r="G131" s="6">
        <f t="shared" ref="G131:H131" si="76">AVERAGE(G61:G65)*25.8/AVERAGE(G4:G8)</f>
        <v>0.14870025062781644</v>
      </c>
      <c r="H131" s="6">
        <f t="shared" si="76"/>
        <v>0.1654109318630374</v>
      </c>
    </row>
    <row r="132" spans="1:8" x14ac:dyDescent="0.2">
      <c r="A132" s="3"/>
      <c r="B132" s="4">
        <v>20</v>
      </c>
      <c r="C132" s="6">
        <f t="shared" ref="C132:F132" si="77">AVERAGE(C67:C71)*25.8/AVERAGE(C4:C8)</f>
        <v>0.17756613406227045</v>
      </c>
      <c r="D132" s="6">
        <f t="shared" si="77"/>
        <v>0.19302190873781447</v>
      </c>
      <c r="E132" s="6">
        <f t="shared" si="77"/>
        <v>0.18467307477623121</v>
      </c>
      <c r="F132" s="6">
        <f t="shared" si="77"/>
        <v>0.12724527143969536</v>
      </c>
      <c r="G132" s="6">
        <f t="shared" ref="G132:H132" si="78">AVERAGE(G67:G71)*25.8/AVERAGE(G4:G8)</f>
        <v>0.17077148279647353</v>
      </c>
      <c r="H132" s="6">
        <f t="shared" si="78"/>
        <v>0.19209621949769229</v>
      </c>
    </row>
    <row r="133" spans="1:8" x14ac:dyDescent="0.2">
      <c r="A133" s="3"/>
      <c r="B133" s="4">
        <v>30</v>
      </c>
      <c r="C133" s="6">
        <f t="shared" ref="C133:F133" si="79">AVERAGE(C73:C77)*25.8/AVERAGE(C4:C8)</f>
        <v>0.20263651180142336</v>
      </c>
      <c r="D133" s="6">
        <f t="shared" si="79"/>
        <v>0.21605182302604709</v>
      </c>
      <c r="E133" s="6">
        <f t="shared" si="79"/>
        <v>0.20638801489039793</v>
      </c>
      <c r="F133" s="6">
        <f t="shared" si="79"/>
        <v>0.15417644394610822</v>
      </c>
      <c r="G133" s="6">
        <f t="shared" ref="G133:H133" si="80">AVERAGE(G73:G77)*25.8/AVERAGE(G4:G8)</f>
        <v>0.18872773947605892</v>
      </c>
      <c r="H133" s="6">
        <f t="shared" si="80"/>
        <v>0.21651041882301469</v>
      </c>
    </row>
    <row r="134" spans="1:8" x14ac:dyDescent="0.2">
      <c r="A134" s="3"/>
      <c r="B134" s="4">
        <v>40</v>
      </c>
      <c r="C134" s="6">
        <f t="shared" ref="C134:F134" si="81">AVERAGE(C79:C83)*25.8/AVERAGE(C4:C8)</f>
        <v>0.22770688954057619</v>
      </c>
      <c r="D134" s="6">
        <f t="shared" si="81"/>
        <v>0.22971363658686308</v>
      </c>
      <c r="E134" s="6">
        <f t="shared" si="81"/>
        <v>0.21887890964633444</v>
      </c>
      <c r="F134" s="6">
        <f t="shared" si="81"/>
        <v>0.17676970947162235</v>
      </c>
      <c r="G134" s="6">
        <f t="shared" ref="G134:H134" si="82">AVERAGE(G79:G83)*25.8/AVERAGE(G4:G8)</f>
        <v>0.20518764143234555</v>
      </c>
      <c r="H134" s="6">
        <f t="shared" si="82"/>
        <v>0.23676095624789459</v>
      </c>
    </row>
    <row r="135" spans="1:8" x14ac:dyDescent="0.2">
      <c r="A135" s="3"/>
      <c r="B135" s="4">
        <v>50</v>
      </c>
      <c r="C135" s="6">
        <f t="shared" ref="C135:F135" si="83">AVERAGE(C85:C89)*25.8/AVERAGE(C4:C8)</f>
        <v>0.2488187865840733</v>
      </c>
      <c r="D135" s="6">
        <f t="shared" si="83"/>
        <v>0.24552230656437882</v>
      </c>
      <c r="E135" s="6">
        <f t="shared" si="83"/>
        <v>0.23194630723716037</v>
      </c>
      <c r="F135" s="6">
        <f t="shared" si="83"/>
        <v>0.20098969011497342</v>
      </c>
      <c r="G135" s="6">
        <f t="shared" ref="G135:H135" si="84">AVERAGE(G85:G89)*25.8/AVERAGE(G4:G8)</f>
        <v>0.22089936602698282</v>
      </c>
      <c r="H135" s="6">
        <f t="shared" si="84"/>
        <v>0.24754862571722319</v>
      </c>
    </row>
    <row r="136" spans="1:8" x14ac:dyDescent="0.2">
      <c r="A136" s="3"/>
      <c r="B136" s="4">
        <v>60</v>
      </c>
      <c r="C136" s="6">
        <f t="shared" ref="C136:F136" si="85">AVERAGE(C91:C95)*25.8/AVERAGE(C4:C8)</f>
        <v>0.27106167811204351</v>
      </c>
      <c r="D136" s="6">
        <f t="shared" si="85"/>
        <v>0.25586625111756806</v>
      </c>
      <c r="E136" s="6">
        <f t="shared" si="85"/>
        <v>0.24559020766287568</v>
      </c>
      <c r="F136" s="6">
        <f t="shared" si="85"/>
        <v>0.22448668626150806</v>
      </c>
      <c r="G136" s="6">
        <f t="shared" ref="G136:H136" si="86">AVERAGE(G91:G95)*25.8/AVERAGE(G4:G8)</f>
        <v>0.22987749436677549</v>
      </c>
      <c r="H136" s="6">
        <f t="shared" si="86"/>
        <v>0.26117515557321702</v>
      </c>
    </row>
    <row r="137" spans="1:8" x14ac:dyDescent="0.2">
      <c r="A137" s="3"/>
      <c r="B137" s="4"/>
      <c r="C137" s="6"/>
      <c r="D137" s="6"/>
      <c r="E137" s="4"/>
      <c r="F137" s="6"/>
    </row>
    <row r="138" spans="1:8" x14ac:dyDescent="0.2">
      <c r="A138" s="3"/>
      <c r="B138" s="4"/>
      <c r="C138" s="4"/>
      <c r="E138" s="4"/>
      <c r="F138" s="4"/>
    </row>
    <row r="139" spans="1:8" x14ac:dyDescent="0.2">
      <c r="A139" s="3"/>
      <c r="B139" s="4"/>
      <c r="C139" s="4"/>
      <c r="D139" s="4"/>
      <c r="E139" s="4"/>
      <c r="F139" s="4"/>
    </row>
    <row r="140" spans="1:8" x14ac:dyDescent="0.2">
      <c r="A140" s="7" t="s">
        <v>20</v>
      </c>
      <c r="B140" s="7"/>
      <c r="C140" s="8"/>
      <c r="D140" s="8"/>
      <c r="E140" s="8"/>
      <c r="F140" s="22"/>
    </row>
    <row r="141" spans="1:8" ht="51" x14ac:dyDescent="0.2">
      <c r="A141" s="1"/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17</v>
      </c>
      <c r="H141" s="13" t="s">
        <v>18</v>
      </c>
    </row>
    <row r="142" spans="1:8" x14ac:dyDescent="0.2">
      <c r="A142" s="3"/>
      <c r="B142" s="4">
        <v>0</v>
      </c>
      <c r="C142" s="6">
        <f xml:space="preserve"> STDEV(C55:C59)*22.58/AVERAGE(C4:C8)</f>
        <v>0</v>
      </c>
      <c r="D142" s="6">
        <f xml:space="preserve"> STDEV(D55:D59)*22.58/AVERAGE(D4:D8)</f>
        <v>0</v>
      </c>
      <c r="E142" s="6">
        <f t="shared" ref="E142:F142" si="87" xml:space="preserve"> STDEV(E55:E59)*22.58/AVERAGE(E4:E8)</f>
        <v>0</v>
      </c>
      <c r="F142" s="6">
        <f t="shared" si="87"/>
        <v>0</v>
      </c>
      <c r="G142" s="6">
        <f t="shared" ref="G142:H142" si="88" xml:space="preserve"> STDEV(G55:G59)*22.58/AVERAGE(G4:G8)</f>
        <v>0</v>
      </c>
      <c r="H142" s="6">
        <f t="shared" si="88"/>
        <v>0</v>
      </c>
    </row>
    <row r="143" spans="1:8" x14ac:dyDescent="0.2">
      <c r="A143" s="3"/>
      <c r="B143" s="4">
        <v>10</v>
      </c>
      <c r="C143" s="6">
        <f t="shared" ref="C143:F143" si="89" xml:space="preserve"> STDEV(C61:C65)*22.58/AVERAGE(C4:C8)</f>
        <v>2.1509877097499984E-3</v>
      </c>
      <c r="D143" s="6">
        <f xml:space="preserve"> STDEV(D61:D65)*22.58/AVERAGE(D4:D8)</f>
        <v>7.084003537700773E-3</v>
      </c>
      <c r="E143" s="6">
        <f t="shared" si="89"/>
        <v>3.5378634101560814E-3</v>
      </c>
      <c r="F143" s="6">
        <f t="shared" si="89"/>
        <v>4.2076193829529863E-3</v>
      </c>
      <c r="G143" s="6">
        <f t="shared" ref="G143:H143" si="90" xml:space="preserve"> STDEV(G61:G65)*22.58/AVERAGE(G4:G8)</f>
        <v>4.7374126057975821E-3</v>
      </c>
      <c r="H143" s="6">
        <f t="shared" si="90"/>
        <v>6.889378713671299E-3</v>
      </c>
    </row>
    <row r="144" spans="1:8" x14ac:dyDescent="0.2">
      <c r="A144" s="3"/>
      <c r="B144" s="4">
        <v>20</v>
      </c>
      <c r="C144" s="6">
        <f t="shared" ref="C144:F144" si="91" xml:space="preserve"> STDEV(C67:C71)*22.58/AVERAGE(C4:C8)</f>
        <v>3.6704225779395981E-3</v>
      </c>
      <c r="D144" s="6">
        <f t="shared" si="91"/>
        <v>7.9980542754788664E-3</v>
      </c>
      <c r="E144" s="6">
        <f t="shared" si="91"/>
        <v>2.6190289294197367E-3</v>
      </c>
      <c r="F144" s="6">
        <f t="shared" si="91"/>
        <v>5.2584090169823221E-3</v>
      </c>
      <c r="G144" s="6">
        <f t="shared" ref="G144:H144" si="92" xml:space="preserve"> STDEV(G67:G71)*22.58/AVERAGE(G4:G8)</f>
        <v>5.5994031122362621E-3</v>
      </c>
      <c r="H144" s="6">
        <f t="shared" si="92"/>
        <v>5.9433406917471726E-3</v>
      </c>
    </row>
    <row r="145" spans="1:8" x14ac:dyDescent="0.2">
      <c r="A145" s="3"/>
      <c r="B145" s="4">
        <v>30</v>
      </c>
      <c r="C145" s="6">
        <f t="shared" ref="C145:F145" si="93" xml:space="preserve"> STDEV(C73:C77)*22.58/AVERAGE(C4:C8)</f>
        <v>5.377469274374963E-3</v>
      </c>
      <c r="D145" s="6">
        <f t="shared" si="93"/>
        <v>9.4449090189917661E-3</v>
      </c>
      <c r="E145" s="6">
        <f t="shared" si="93"/>
        <v>4.3452028844091451E-3</v>
      </c>
      <c r="F145" s="6">
        <f t="shared" si="93"/>
        <v>1.1193958795716927E-2</v>
      </c>
      <c r="G145" s="6">
        <f t="shared" ref="G145:H145" si="94" xml:space="preserve"> STDEV(G73:G77)*22.58/AVERAGE(G4:G8)</f>
        <v>7.9018132965501982E-3</v>
      </c>
      <c r="H145" s="6">
        <f t="shared" si="94"/>
        <v>9.0798619478588138E-3</v>
      </c>
    </row>
    <row r="146" spans="1:8" x14ac:dyDescent="0.2">
      <c r="A146" s="3"/>
      <c r="B146" s="4">
        <v>40</v>
      </c>
      <c r="C146" s="6">
        <f t="shared" ref="C146:F146" si="95" xml:space="preserve"> STDEV(C79:C83)*22.58/AVERAGE(C4:C8)</f>
        <v>5.2364383598754545E-3</v>
      </c>
      <c r="D146" s="6">
        <f t="shared" si="95"/>
        <v>8.7222133290065975E-3</v>
      </c>
      <c r="E146" s="6">
        <f t="shared" si="95"/>
        <v>3.779463131696496E-3</v>
      </c>
      <c r="F146" s="6">
        <f t="shared" si="95"/>
        <v>1.6821182519487669E-2</v>
      </c>
      <c r="G146" s="6">
        <f t="shared" ref="G146:H146" si="96" xml:space="preserve"> STDEV(G79:G83)*22.58/AVERAGE(G4:G8)</f>
        <v>9.6430305105574838E-3</v>
      </c>
      <c r="H146" s="6">
        <f t="shared" si="96"/>
        <v>6.6616092082075733E-3</v>
      </c>
    </row>
    <row r="147" spans="1:8" x14ac:dyDescent="0.2">
      <c r="A147" s="3"/>
      <c r="B147" s="4">
        <v>50</v>
      </c>
      <c r="C147" s="6">
        <f t="shared" ref="C147:F147" si="97" xml:space="preserve"> STDEV(C85:C89)*22.58/AVERAGE(C4:C8)</f>
        <v>7.4466728890361447E-3</v>
      </c>
      <c r="D147" s="6">
        <f t="shared" si="97"/>
        <v>1.1610088593205154E-2</v>
      </c>
      <c r="E147" s="6">
        <f t="shared" si="97"/>
        <v>5.4692101632187748E-3</v>
      </c>
      <c r="F147" s="6">
        <f t="shared" si="97"/>
        <v>2.1808998597307047E-2</v>
      </c>
      <c r="G147" s="6">
        <f t="shared" ref="G147:H147" si="98" xml:space="preserve"> STDEV(G85:G89)*22.58/AVERAGE(G4:G8)</f>
        <v>1.6157866319160094E-2</v>
      </c>
      <c r="H147" s="6">
        <f t="shared" si="98"/>
        <v>9.914027216797237E-3</v>
      </c>
    </row>
    <row r="148" spans="1:8" x14ac:dyDescent="0.2">
      <c r="A148" s="3"/>
      <c r="B148" s="4">
        <v>60</v>
      </c>
      <c r="C148" s="6">
        <f t="shared" ref="C148:F148" si="99" xml:space="preserve"> STDEV(C91:C95)*22.58/AVERAGE(C4:C8)</f>
        <v>1.4246562879763157E-2</v>
      </c>
      <c r="D148" s="6">
        <f t="shared" si="99"/>
        <v>1.4219396460930026E-2</v>
      </c>
      <c r="E148" s="6">
        <f t="shared" si="99"/>
        <v>6.8213035356755559E-3</v>
      </c>
      <c r="F148" s="6">
        <f t="shared" si="99"/>
        <v>2.8603152120732628E-2</v>
      </c>
      <c r="G148" s="6">
        <f t="shared" ref="G148:H148" si="100" xml:space="preserve"> STDEV(G91:G95)*22.58/AVERAGE(G4:G8)</f>
        <v>8.8041105519359539E-3</v>
      </c>
      <c r="H148" s="6">
        <f t="shared" si="100"/>
        <v>1.2491589734997069E-2</v>
      </c>
    </row>
    <row r="149" spans="1:8" x14ac:dyDescent="0.2">
      <c r="A149" s="3"/>
      <c r="B149" s="4"/>
      <c r="C149" s="5"/>
      <c r="D149" s="5"/>
      <c r="E149" s="5"/>
      <c r="F149" s="5"/>
    </row>
    <row r="150" spans="1:8" x14ac:dyDescent="0.2">
      <c r="A150" s="3"/>
      <c r="B150" s="4"/>
      <c r="C150" s="24"/>
      <c r="D150" s="24"/>
      <c r="E150" s="24"/>
      <c r="F150" s="24"/>
    </row>
    <row r="151" spans="1:8" x14ac:dyDescent="0.2">
      <c r="A151" s="3"/>
      <c r="B151" s="4"/>
      <c r="C151" s="4"/>
      <c r="D151" s="4"/>
      <c r="E151" s="4"/>
      <c r="F151" s="4"/>
    </row>
    <row r="152" spans="1:8" x14ac:dyDescent="0.2">
      <c r="A152" s="3"/>
      <c r="B152" s="4"/>
      <c r="C152" s="4"/>
      <c r="D152" s="4"/>
      <c r="E152" s="4"/>
      <c r="F152" s="4"/>
    </row>
    <row r="153" spans="1:8" x14ac:dyDescent="0.2">
      <c r="A153" s="3"/>
      <c r="B153" s="4"/>
      <c r="C153" s="4"/>
      <c r="D153" s="4"/>
      <c r="E153" s="4"/>
      <c r="F153" s="4"/>
    </row>
    <row r="154" spans="1:8" x14ac:dyDescent="0.2">
      <c r="A154" s="3"/>
      <c r="B154" s="4"/>
      <c r="C154" s="4"/>
      <c r="D154" s="4"/>
      <c r="E154" s="4"/>
      <c r="F154" s="4"/>
    </row>
    <row r="155" spans="1:8" x14ac:dyDescent="0.2">
      <c r="A155" s="3"/>
      <c r="B155" s="4"/>
      <c r="C155" s="4"/>
      <c r="D155" s="4"/>
      <c r="E155" s="4"/>
      <c r="F155" s="4"/>
    </row>
    <row r="156" spans="1:8" x14ac:dyDescent="0.2">
      <c r="A156" s="3"/>
      <c r="B156" s="4"/>
      <c r="C156" s="4"/>
      <c r="D156" s="4"/>
      <c r="E156" s="4"/>
      <c r="F156" s="4"/>
    </row>
    <row r="157" spans="1:8" x14ac:dyDescent="0.2">
      <c r="A157" s="3"/>
      <c r="B157" s="4"/>
      <c r="C157" s="4"/>
      <c r="D157" s="4"/>
      <c r="E157" s="4"/>
      <c r="F157" s="4"/>
    </row>
    <row r="158" spans="1:8" x14ac:dyDescent="0.2">
      <c r="A158" s="3"/>
      <c r="B158" s="4"/>
      <c r="C158" s="4"/>
      <c r="D158" s="4"/>
      <c r="E158" s="4"/>
      <c r="F158" s="4"/>
    </row>
    <row r="159" spans="1:8" x14ac:dyDescent="0.2">
      <c r="A159" s="3"/>
      <c r="B159" s="4"/>
      <c r="C159" s="4"/>
      <c r="D159" s="4"/>
      <c r="E159" s="4"/>
      <c r="F159" s="4"/>
    </row>
    <row r="160" spans="1:8" x14ac:dyDescent="0.2">
      <c r="A160" s="3"/>
      <c r="B160" s="4"/>
      <c r="C160" s="4"/>
      <c r="D160" s="4"/>
      <c r="E160" s="4"/>
      <c r="F160" s="4"/>
    </row>
    <row r="161" spans="1:6" x14ac:dyDescent="0.2">
      <c r="A161" s="3"/>
      <c r="B161" s="4"/>
      <c r="C161" s="4"/>
      <c r="D161" s="4"/>
      <c r="E161" s="4"/>
      <c r="F161" s="4"/>
    </row>
    <row r="162" spans="1:6" x14ac:dyDescent="0.2">
      <c r="A162" s="3"/>
      <c r="B162" s="4"/>
      <c r="C162" s="4"/>
      <c r="D162" s="4"/>
      <c r="E162" s="4"/>
      <c r="F162" s="4"/>
    </row>
    <row r="163" spans="1:6" x14ac:dyDescent="0.2">
      <c r="A163" s="3"/>
      <c r="B163" s="4"/>
      <c r="C163" s="4"/>
      <c r="D163" s="4"/>
      <c r="E163" s="4"/>
      <c r="F163" s="4"/>
    </row>
    <row r="164" spans="1:6" x14ac:dyDescent="0.2">
      <c r="A164" s="3"/>
      <c r="B164" s="4"/>
      <c r="C164" s="4"/>
      <c r="D164" s="4"/>
      <c r="E164" s="4"/>
      <c r="F164" s="4"/>
    </row>
    <row r="165" spans="1:6" x14ac:dyDescent="0.2">
      <c r="A165" s="3"/>
      <c r="B165" s="4"/>
      <c r="C165" s="4"/>
      <c r="D165" s="4"/>
      <c r="E165" s="4"/>
      <c r="F165" s="4"/>
    </row>
    <row r="166" spans="1:6" x14ac:dyDescent="0.2">
      <c r="A166" s="3"/>
      <c r="B166" s="4"/>
      <c r="C166" s="4"/>
      <c r="D166" s="4"/>
      <c r="E166" s="4"/>
      <c r="F166" s="4"/>
    </row>
    <row r="167" spans="1:6" x14ac:dyDescent="0.2">
      <c r="A167" s="3"/>
      <c r="B167" s="4"/>
      <c r="C167" s="4"/>
      <c r="D167" s="4"/>
      <c r="E167" s="4"/>
      <c r="F167" s="4"/>
    </row>
    <row r="168" spans="1:6" x14ac:dyDescent="0.2">
      <c r="A168" s="3"/>
      <c r="B168" s="4"/>
      <c r="C168" s="4"/>
      <c r="D168" s="4"/>
      <c r="E168" s="4"/>
      <c r="F168" s="4"/>
    </row>
    <row r="169" spans="1:6" x14ac:dyDescent="0.2">
      <c r="A169" s="3"/>
      <c r="B169" s="4"/>
      <c r="C169" s="4"/>
      <c r="D169" s="4"/>
      <c r="E169" s="4"/>
      <c r="F169" s="4"/>
    </row>
    <row r="170" spans="1:6" x14ac:dyDescent="0.2">
      <c r="A170" s="3"/>
      <c r="B170" s="4"/>
      <c r="C170" s="4"/>
      <c r="D170" s="4"/>
      <c r="E170" s="4"/>
      <c r="F170" s="4"/>
    </row>
    <row r="171" spans="1:6" x14ac:dyDescent="0.2">
      <c r="A171" s="3"/>
      <c r="B171" s="4"/>
      <c r="C171" s="4"/>
      <c r="D171" s="4"/>
      <c r="E171" s="4"/>
      <c r="F171" s="4"/>
    </row>
    <row r="172" spans="1:6" x14ac:dyDescent="0.2">
      <c r="A172" s="3"/>
      <c r="B172" s="4"/>
      <c r="C172" s="4"/>
      <c r="D172" s="4"/>
      <c r="E172" s="4"/>
      <c r="F172" s="4"/>
    </row>
    <row r="173" spans="1:6" x14ac:dyDescent="0.2">
      <c r="A173" s="3"/>
      <c r="B173" s="4"/>
      <c r="C173" s="4"/>
      <c r="D173" s="4"/>
      <c r="E173" s="4"/>
      <c r="F173" s="4"/>
    </row>
    <row r="174" spans="1:6" x14ac:dyDescent="0.2">
      <c r="A174" s="3"/>
      <c r="B174" s="4"/>
      <c r="C174" s="4"/>
      <c r="D174" s="4"/>
      <c r="E174" s="4"/>
      <c r="F174" s="4"/>
    </row>
    <row r="175" spans="1:6" x14ac:dyDescent="0.2">
      <c r="A175" s="3"/>
      <c r="B175" s="4"/>
      <c r="C175" s="4"/>
      <c r="D175" s="4"/>
      <c r="E175" s="4"/>
      <c r="F175" s="4"/>
    </row>
    <row r="176" spans="1:6" x14ac:dyDescent="0.2">
      <c r="A176" s="3"/>
      <c r="B176" s="4"/>
      <c r="C176" s="4"/>
      <c r="D176" s="4"/>
      <c r="E176" s="4"/>
      <c r="F176" s="4"/>
    </row>
    <row r="177" spans="1:6" x14ac:dyDescent="0.2">
      <c r="A177" s="3"/>
      <c r="B177" s="4"/>
      <c r="C177" s="4"/>
      <c r="D177" s="4"/>
      <c r="E177" s="4"/>
      <c r="F177" s="4"/>
    </row>
    <row r="178" spans="1:6" x14ac:dyDescent="0.2">
      <c r="A178" s="3"/>
      <c r="B178" s="4"/>
      <c r="C178" s="4"/>
      <c r="D178" s="4"/>
      <c r="E178" s="4"/>
      <c r="F178" s="4"/>
    </row>
    <row r="179" spans="1:6" x14ac:dyDescent="0.2">
      <c r="A179" s="3"/>
      <c r="B179" s="4"/>
      <c r="C179" s="4"/>
      <c r="D179" s="4"/>
      <c r="E179" s="4"/>
      <c r="F179" s="4"/>
    </row>
    <row r="180" spans="1:6" x14ac:dyDescent="0.2">
      <c r="A180" s="3"/>
      <c r="B180" s="4"/>
      <c r="C180" s="4"/>
      <c r="D180" s="4"/>
      <c r="E180" s="4"/>
      <c r="F180" s="4"/>
    </row>
    <row r="181" spans="1:6" x14ac:dyDescent="0.2">
      <c r="A181" s="3"/>
      <c r="B181" s="4"/>
      <c r="C181" s="4"/>
      <c r="D181" s="4"/>
      <c r="E181" s="4"/>
      <c r="F181" s="4"/>
    </row>
    <row r="182" spans="1:6" x14ac:dyDescent="0.2">
      <c r="A182" s="3"/>
      <c r="B182" s="4"/>
      <c r="C182" s="4"/>
      <c r="D182" s="4"/>
      <c r="E182" s="4"/>
      <c r="F182" s="4"/>
    </row>
    <row r="183" spans="1:6" x14ac:dyDescent="0.2">
      <c r="A183" s="3"/>
      <c r="B183" s="4"/>
      <c r="C183" s="4"/>
      <c r="D183" s="4"/>
      <c r="E183" s="4"/>
      <c r="F183" s="4"/>
    </row>
    <row r="184" spans="1:6" x14ac:dyDescent="0.2">
      <c r="A184" s="3"/>
      <c r="B184" s="4"/>
      <c r="C184" s="4"/>
      <c r="D184" s="4"/>
      <c r="E184" s="4"/>
      <c r="F184" s="4"/>
    </row>
    <row r="185" spans="1:6" x14ac:dyDescent="0.2">
      <c r="A185" s="3"/>
      <c r="B185" s="4"/>
      <c r="C185" s="4"/>
      <c r="D185" s="4"/>
      <c r="E185" s="4"/>
      <c r="F185" s="4"/>
    </row>
    <row r="186" spans="1:6" x14ac:dyDescent="0.2">
      <c r="A186" s="3"/>
      <c r="B186" s="4"/>
      <c r="C186" s="4"/>
      <c r="D186" s="4"/>
      <c r="E186" s="4"/>
      <c r="F186" s="4"/>
    </row>
    <row r="187" spans="1:6" x14ac:dyDescent="0.2">
      <c r="A187" s="3"/>
      <c r="B187" s="4"/>
      <c r="C187" s="4"/>
      <c r="D187" s="4"/>
      <c r="E187" s="4"/>
      <c r="F187" s="4"/>
    </row>
    <row r="188" spans="1:6" x14ac:dyDescent="0.2">
      <c r="A188" s="3"/>
      <c r="B188" s="4"/>
      <c r="C188" s="4"/>
      <c r="D188" s="4"/>
      <c r="E188" s="4"/>
      <c r="F188" s="4"/>
    </row>
    <row r="189" spans="1:6" x14ac:dyDescent="0.2">
      <c r="A189" s="3"/>
      <c r="B189" s="4"/>
      <c r="C189" s="4"/>
      <c r="D189" s="4"/>
      <c r="E189" s="4"/>
      <c r="F189" s="4"/>
    </row>
    <row r="190" spans="1:6" x14ac:dyDescent="0.2">
      <c r="A190" s="3"/>
      <c r="B190" s="4"/>
      <c r="C190" s="4"/>
      <c r="D190" s="4"/>
      <c r="E190" s="4"/>
      <c r="F190" s="4"/>
    </row>
    <row r="191" spans="1:6" x14ac:dyDescent="0.2">
      <c r="A191" s="3"/>
      <c r="B191" s="4"/>
      <c r="C191" s="4"/>
      <c r="D191" s="4"/>
      <c r="E191" s="4"/>
      <c r="F191" s="4"/>
    </row>
    <row r="192" spans="1:6" x14ac:dyDescent="0.2">
      <c r="A192" s="3"/>
      <c r="B192" s="4"/>
      <c r="C192" s="4"/>
      <c r="D192" s="4"/>
      <c r="E192" s="4"/>
      <c r="F192" s="4"/>
    </row>
    <row r="193" spans="1:6" x14ac:dyDescent="0.2">
      <c r="A193" s="3"/>
      <c r="B193" s="4"/>
      <c r="C193" s="4"/>
      <c r="D193" s="4"/>
      <c r="E193" s="4"/>
      <c r="F193" s="4"/>
    </row>
    <row r="194" spans="1:6" x14ac:dyDescent="0.2">
      <c r="A194" s="3"/>
      <c r="B194" s="4"/>
      <c r="C194" s="4"/>
      <c r="D194" s="4"/>
      <c r="E194" s="4"/>
      <c r="F194" s="4"/>
    </row>
    <row r="195" spans="1:6" x14ac:dyDescent="0.2">
      <c r="A195" s="3"/>
      <c r="B195" s="4"/>
      <c r="C195" s="4"/>
      <c r="D195" s="4"/>
      <c r="E195" s="4"/>
      <c r="F195" s="4"/>
    </row>
  </sheetData>
  <mergeCells count="2">
    <mergeCell ref="A2:E2"/>
    <mergeCell ref="A53:E5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9F41-A594-794A-B79F-91E3A34AD959}">
  <dimension ref="A1:F211"/>
  <sheetViews>
    <sheetView tabSelected="1" workbookViewId="0">
      <selection activeCell="F6" sqref="F6:G6"/>
    </sheetView>
  </sheetViews>
  <sheetFormatPr baseColWidth="10" defaultRowHeight="16" x14ac:dyDescent="0.2"/>
  <cols>
    <col min="3" max="3" width="12.6640625" customWidth="1"/>
    <col min="4" max="4" width="12" customWidth="1"/>
  </cols>
  <sheetData>
    <row r="1" spans="1:6" x14ac:dyDescent="0.2">
      <c r="A1" s="26" t="s">
        <v>22</v>
      </c>
      <c r="B1" s="26" t="s">
        <v>23</v>
      </c>
      <c r="C1" s="26" t="s">
        <v>24</v>
      </c>
      <c r="D1" s="26" t="s">
        <v>31</v>
      </c>
    </row>
    <row r="2" spans="1:6" x14ac:dyDescent="0.2">
      <c r="A2" s="27">
        <v>0</v>
      </c>
      <c r="B2" s="25" t="s">
        <v>25</v>
      </c>
      <c r="C2" s="19">
        <v>0.85499999999999998</v>
      </c>
      <c r="D2" s="30">
        <v>0</v>
      </c>
    </row>
    <row r="3" spans="1:6" x14ac:dyDescent="0.2">
      <c r="A3" s="27">
        <v>0</v>
      </c>
      <c r="B3" s="25" t="s">
        <v>25</v>
      </c>
      <c r="C3" s="19">
        <v>0.84399999999999997</v>
      </c>
      <c r="D3" s="30">
        <v>0</v>
      </c>
    </row>
    <row r="4" spans="1:6" x14ac:dyDescent="0.2">
      <c r="A4" s="27">
        <v>0</v>
      </c>
      <c r="B4" s="25" t="s">
        <v>25</v>
      </c>
      <c r="C4" s="19">
        <v>0.85</v>
      </c>
      <c r="D4" s="30">
        <v>0</v>
      </c>
    </row>
    <row r="5" spans="1:6" x14ac:dyDescent="0.2">
      <c r="A5" s="27">
        <v>0</v>
      </c>
      <c r="B5" s="25" t="s">
        <v>25</v>
      </c>
      <c r="C5" s="19">
        <v>0.84199999999999997</v>
      </c>
      <c r="D5" s="30">
        <v>0</v>
      </c>
    </row>
    <row r="6" spans="1:6" x14ac:dyDescent="0.2">
      <c r="A6" s="27">
        <v>0</v>
      </c>
      <c r="B6" s="25" t="s">
        <v>25</v>
      </c>
      <c r="C6" s="19">
        <v>0.85199999999999998</v>
      </c>
      <c r="D6" s="30">
        <v>0</v>
      </c>
      <c r="F6" s="33"/>
    </row>
    <row r="7" spans="1:6" x14ac:dyDescent="0.2">
      <c r="A7" s="27">
        <v>10</v>
      </c>
      <c r="B7" s="25" t="s">
        <v>25</v>
      </c>
      <c r="C7" s="19">
        <v>0.995</v>
      </c>
      <c r="D7" s="30">
        <v>4.3400086800173604E-3</v>
      </c>
    </row>
    <row r="8" spans="1:6" x14ac:dyDescent="0.2">
      <c r="A8" s="27">
        <v>10</v>
      </c>
      <c r="B8" s="25" t="s">
        <v>25</v>
      </c>
      <c r="C8" s="19">
        <v>0.97799999999999998</v>
      </c>
      <c r="D8" s="30">
        <v>4.1540083080166155E-3</v>
      </c>
    </row>
    <row r="9" spans="1:6" x14ac:dyDescent="0.2">
      <c r="A9" s="27">
        <v>10</v>
      </c>
      <c r="B9" s="25" t="s">
        <v>25</v>
      </c>
      <c r="C9" s="19">
        <v>0.98899999999999999</v>
      </c>
      <c r="D9" s="30">
        <v>4.3090086180172359E-3</v>
      </c>
    </row>
    <row r="10" spans="1:6" x14ac:dyDescent="0.2">
      <c r="A10" s="27">
        <v>10</v>
      </c>
      <c r="B10" s="25" t="s">
        <v>25</v>
      </c>
      <c r="C10" s="19">
        <v>0.98199999999999998</v>
      </c>
      <c r="D10" s="30">
        <v>4.3400086800173604E-3</v>
      </c>
    </row>
    <row r="11" spans="1:6" x14ac:dyDescent="0.2">
      <c r="A11" s="27">
        <v>10</v>
      </c>
      <c r="B11" s="25" t="s">
        <v>25</v>
      </c>
      <c r="C11" s="19">
        <v>0.99199999999999999</v>
      </c>
      <c r="D11" s="30">
        <v>4.3400086800173604E-3</v>
      </c>
    </row>
    <row r="12" spans="1:6" x14ac:dyDescent="0.2">
      <c r="A12" s="27">
        <v>20</v>
      </c>
      <c r="B12" s="25" t="s">
        <v>25</v>
      </c>
      <c r="C12" s="19">
        <v>1.048</v>
      </c>
      <c r="D12" s="30">
        <v>5.9830119660239335E-3</v>
      </c>
    </row>
    <row r="13" spans="1:6" x14ac:dyDescent="0.2">
      <c r="A13" s="27">
        <v>20</v>
      </c>
      <c r="B13" s="25" t="s">
        <v>25</v>
      </c>
      <c r="C13" s="19">
        <v>1.03</v>
      </c>
      <c r="D13" s="30">
        <v>5.7660115320230651E-3</v>
      </c>
    </row>
    <row r="14" spans="1:6" x14ac:dyDescent="0.2">
      <c r="A14" s="27">
        <v>20</v>
      </c>
      <c r="B14" s="25" t="s">
        <v>25</v>
      </c>
      <c r="C14" s="19">
        <v>1.0429999999999999</v>
      </c>
      <c r="D14" s="30">
        <v>5.98301196602393E-3</v>
      </c>
    </row>
    <row r="15" spans="1:6" x14ac:dyDescent="0.2">
      <c r="A15" s="27">
        <v>20</v>
      </c>
      <c r="B15" s="25" t="s">
        <v>25</v>
      </c>
      <c r="C15" s="19">
        <v>1.0249999999999999</v>
      </c>
      <c r="D15" s="30">
        <v>5.67301134602269E-3</v>
      </c>
    </row>
    <row r="16" spans="1:6" x14ac:dyDescent="0.2">
      <c r="A16" s="27">
        <v>20</v>
      </c>
      <c r="B16" s="25" t="s">
        <v>25</v>
      </c>
      <c r="C16" s="19">
        <v>1.0389999999999999</v>
      </c>
      <c r="D16" s="30">
        <v>5.797011594023186E-3</v>
      </c>
    </row>
    <row r="17" spans="1:4" x14ac:dyDescent="0.2">
      <c r="A17" s="27">
        <v>30</v>
      </c>
      <c r="B17" s="25" t="s">
        <v>25</v>
      </c>
      <c r="C17" s="19">
        <v>1.0780000000000001</v>
      </c>
      <c r="D17" s="30">
        <v>6.9130138260276542E-3</v>
      </c>
    </row>
    <row r="18" spans="1:4" x14ac:dyDescent="0.2">
      <c r="A18" s="27">
        <v>30</v>
      </c>
      <c r="B18" s="25" t="s">
        <v>25</v>
      </c>
      <c r="C18" s="19">
        <v>1.0589999999999999</v>
      </c>
      <c r="D18" s="30">
        <v>6.6650133300266588E-3</v>
      </c>
    </row>
    <row r="19" spans="1:4" x14ac:dyDescent="0.2">
      <c r="A19" s="27">
        <v>30</v>
      </c>
      <c r="B19" s="25" t="s">
        <v>25</v>
      </c>
      <c r="C19" s="19">
        <v>1.069</v>
      </c>
      <c r="D19" s="30">
        <v>6.7890135780271548E-3</v>
      </c>
    </row>
    <row r="20" spans="1:4" x14ac:dyDescent="0.2">
      <c r="A20" s="27">
        <v>30</v>
      </c>
      <c r="B20" s="25" t="s">
        <v>25</v>
      </c>
      <c r="C20" s="19">
        <v>1.048</v>
      </c>
      <c r="D20" s="30">
        <v>6.3860127720255459E-3</v>
      </c>
    </row>
    <row r="21" spans="1:4" x14ac:dyDescent="0.2">
      <c r="A21" s="27">
        <v>30</v>
      </c>
      <c r="B21" s="25" t="s">
        <v>25</v>
      </c>
      <c r="C21" s="19">
        <v>1.0640000000000001</v>
      </c>
      <c r="D21" s="30">
        <v>6.5720131440262898E-3</v>
      </c>
    </row>
    <row r="22" spans="1:4" x14ac:dyDescent="0.2">
      <c r="A22" s="27">
        <v>40</v>
      </c>
      <c r="B22" s="25" t="s">
        <v>25</v>
      </c>
      <c r="C22" s="19">
        <v>1.099</v>
      </c>
      <c r="D22" s="30">
        <v>7.5640151280302551E-3</v>
      </c>
    </row>
    <row r="23" spans="1:4" x14ac:dyDescent="0.2">
      <c r="A23" s="27">
        <v>40</v>
      </c>
      <c r="B23" s="25" t="s">
        <v>25</v>
      </c>
      <c r="C23" s="19">
        <v>1.087</v>
      </c>
      <c r="D23" s="30">
        <v>7.5330150660301316E-3</v>
      </c>
    </row>
    <row r="24" spans="1:4" x14ac:dyDescent="0.2">
      <c r="A24" s="27">
        <v>40</v>
      </c>
      <c r="B24" s="25" t="s">
        <v>25</v>
      </c>
      <c r="C24" s="19">
        <v>1.0980000000000001</v>
      </c>
      <c r="D24" s="30">
        <v>7.6880153760307546E-3</v>
      </c>
    </row>
    <row r="25" spans="1:4" x14ac:dyDescent="0.2">
      <c r="A25" s="27">
        <v>40</v>
      </c>
      <c r="B25" s="25" t="s">
        <v>25</v>
      </c>
      <c r="C25" s="19">
        <v>1.073</v>
      </c>
      <c r="D25" s="30">
        <v>7.1610143220286427E-3</v>
      </c>
    </row>
    <row r="26" spans="1:4" x14ac:dyDescent="0.2">
      <c r="A26" s="27">
        <v>40</v>
      </c>
      <c r="B26" s="25" t="s">
        <v>25</v>
      </c>
      <c r="C26" s="19">
        <v>1.0940000000000001</v>
      </c>
      <c r="D26" s="30">
        <v>7.5020150040300106E-3</v>
      </c>
    </row>
    <row r="27" spans="1:4" x14ac:dyDescent="0.2">
      <c r="A27" s="27">
        <v>50</v>
      </c>
      <c r="B27" s="25" t="s">
        <v>25</v>
      </c>
      <c r="C27" s="19">
        <v>1.1200000000000001</v>
      </c>
      <c r="D27" s="30">
        <v>8.2150164300328638E-3</v>
      </c>
    </row>
    <row r="28" spans="1:4" x14ac:dyDescent="0.2">
      <c r="A28" s="27">
        <v>50</v>
      </c>
      <c r="B28" s="25" t="s">
        <v>25</v>
      </c>
      <c r="C28" s="19">
        <v>1.1060000000000001</v>
      </c>
      <c r="D28" s="30">
        <v>8.1220162440324914E-3</v>
      </c>
    </row>
    <row r="29" spans="1:4" x14ac:dyDescent="0.2">
      <c r="A29" s="27">
        <v>50</v>
      </c>
      <c r="B29" s="25" t="s">
        <v>25</v>
      </c>
      <c r="C29" s="19">
        <v>1.1279999999999999</v>
      </c>
      <c r="D29" s="30">
        <v>8.6180172360344684E-3</v>
      </c>
    </row>
    <row r="30" spans="1:4" x14ac:dyDescent="0.2">
      <c r="A30" s="27">
        <v>50</v>
      </c>
      <c r="B30" s="25" t="s">
        <v>25</v>
      </c>
      <c r="C30" s="19">
        <v>1.095</v>
      </c>
      <c r="D30" s="30">
        <v>7.8430156860313707E-3</v>
      </c>
    </row>
    <row r="31" spans="1:4" x14ac:dyDescent="0.2">
      <c r="A31" s="27">
        <v>50</v>
      </c>
      <c r="B31" s="25" t="s">
        <v>25</v>
      </c>
      <c r="C31" s="19">
        <v>1.1140000000000001</v>
      </c>
      <c r="D31" s="30">
        <v>8.1220162440324914E-3</v>
      </c>
    </row>
    <row r="32" spans="1:4" x14ac:dyDescent="0.2">
      <c r="A32" s="27">
        <v>60</v>
      </c>
      <c r="B32" s="25" t="s">
        <v>25</v>
      </c>
      <c r="C32" s="19">
        <v>1.155</v>
      </c>
      <c r="D32" s="30">
        <v>9.3000186000372007E-3</v>
      </c>
    </row>
    <row r="33" spans="1:4" x14ac:dyDescent="0.2">
      <c r="A33" s="27">
        <v>60</v>
      </c>
      <c r="B33" s="25" t="s">
        <v>25</v>
      </c>
      <c r="C33" s="19">
        <v>1.135</v>
      </c>
      <c r="D33" s="30">
        <v>9.0210180420360851E-3</v>
      </c>
    </row>
    <row r="34" spans="1:4" x14ac:dyDescent="0.2">
      <c r="A34" s="27">
        <v>60</v>
      </c>
      <c r="B34" s="25" t="s">
        <v>25</v>
      </c>
      <c r="C34" s="19">
        <v>1.157</v>
      </c>
      <c r="D34" s="30">
        <v>9.5170190340380691E-3</v>
      </c>
    </row>
    <row r="35" spans="1:4" x14ac:dyDescent="0.2">
      <c r="A35" s="27">
        <v>60</v>
      </c>
      <c r="B35" s="25" t="s">
        <v>25</v>
      </c>
      <c r="C35" s="19">
        <v>1.1080000000000001</v>
      </c>
      <c r="D35" s="30">
        <v>8.2460164920329874E-3</v>
      </c>
    </row>
    <row r="36" spans="1:4" x14ac:dyDescent="0.2">
      <c r="A36" s="27">
        <v>60</v>
      </c>
      <c r="B36" s="25" t="s">
        <v>25</v>
      </c>
      <c r="C36" s="19">
        <v>1.1259999999999999</v>
      </c>
      <c r="D36" s="30">
        <v>8.4940169880339724E-3</v>
      </c>
    </row>
    <row r="37" spans="1:4" x14ac:dyDescent="0.2">
      <c r="A37" s="27">
        <v>0</v>
      </c>
      <c r="B37" s="25" t="s">
        <v>26</v>
      </c>
      <c r="C37" s="19">
        <v>0.81200000000000006</v>
      </c>
      <c r="D37" s="30">
        <v>0</v>
      </c>
    </row>
    <row r="38" spans="1:4" x14ac:dyDescent="0.2">
      <c r="A38" s="27">
        <v>0</v>
      </c>
      <c r="B38" s="25" t="s">
        <v>26</v>
      </c>
      <c r="C38" s="19">
        <v>0.82799999999999996</v>
      </c>
      <c r="D38" s="30">
        <v>0</v>
      </c>
    </row>
    <row r="39" spans="1:4" x14ac:dyDescent="0.2">
      <c r="A39" s="27">
        <v>0</v>
      </c>
      <c r="B39" s="25" t="s">
        <v>26</v>
      </c>
      <c r="C39" s="19">
        <v>0.80900000000000005</v>
      </c>
      <c r="D39" s="30">
        <v>0</v>
      </c>
    </row>
    <row r="40" spans="1:4" x14ac:dyDescent="0.2">
      <c r="A40" s="27">
        <v>0</v>
      </c>
      <c r="B40" s="25" t="s">
        <v>26</v>
      </c>
      <c r="C40" s="19">
        <v>0.80900000000000005</v>
      </c>
      <c r="D40" s="30">
        <v>0</v>
      </c>
    </row>
    <row r="41" spans="1:4" x14ac:dyDescent="0.2">
      <c r="A41" s="27">
        <v>0</v>
      </c>
      <c r="B41" s="25" t="s">
        <v>26</v>
      </c>
      <c r="C41" s="19">
        <v>0.84</v>
      </c>
      <c r="D41" s="30">
        <v>0</v>
      </c>
    </row>
    <row r="42" spans="1:4" x14ac:dyDescent="0.2">
      <c r="A42" s="27">
        <v>10</v>
      </c>
      <c r="B42" s="25" t="s">
        <v>26</v>
      </c>
      <c r="C42" s="19">
        <v>0.97199999999999998</v>
      </c>
      <c r="D42" s="30">
        <v>4.9600099200198368E-3</v>
      </c>
    </row>
    <row r="43" spans="1:4" x14ac:dyDescent="0.2">
      <c r="A43" s="27">
        <v>10</v>
      </c>
      <c r="B43" s="25" t="s">
        <v>26</v>
      </c>
      <c r="C43" s="19">
        <v>0.98799999999999999</v>
      </c>
      <c r="D43" s="30">
        <v>4.9600099200198403E-3</v>
      </c>
    </row>
    <row r="44" spans="1:4" x14ac:dyDescent="0.2">
      <c r="A44" s="27">
        <v>10</v>
      </c>
      <c r="B44" s="25" t="s">
        <v>26</v>
      </c>
      <c r="C44" s="19">
        <v>0.97899999999999998</v>
      </c>
      <c r="D44" s="30">
        <v>5.2700105400210777E-3</v>
      </c>
    </row>
    <row r="45" spans="1:4" x14ac:dyDescent="0.2">
      <c r="A45" s="27">
        <v>10</v>
      </c>
      <c r="B45" s="25" t="s">
        <v>26</v>
      </c>
      <c r="C45" s="19">
        <v>0.97599999999999998</v>
      </c>
      <c r="D45" s="30">
        <v>5.1770103540207052E-3</v>
      </c>
    </row>
    <row r="46" spans="1:4" x14ac:dyDescent="0.2">
      <c r="A46" s="27">
        <v>10</v>
      </c>
      <c r="B46" s="25" t="s">
        <v>26</v>
      </c>
      <c r="C46" s="19">
        <v>1.02</v>
      </c>
      <c r="D46" s="30">
        <v>5.5800111600223211E-3</v>
      </c>
    </row>
    <row r="47" spans="1:4" x14ac:dyDescent="0.2">
      <c r="A47" s="27">
        <v>20</v>
      </c>
      <c r="B47" s="25" t="s">
        <v>26</v>
      </c>
      <c r="C47" s="19">
        <v>1.0029999999999999</v>
      </c>
      <c r="D47" s="30">
        <v>5.9210118420236785E-3</v>
      </c>
    </row>
    <row r="48" spans="1:4" x14ac:dyDescent="0.2">
      <c r="A48" s="27">
        <v>20</v>
      </c>
      <c r="B48" s="25" t="s">
        <v>26</v>
      </c>
      <c r="C48" s="19">
        <v>1.02</v>
      </c>
      <c r="D48" s="30">
        <v>5.952011904023809E-3</v>
      </c>
    </row>
    <row r="49" spans="1:4" x14ac:dyDescent="0.2">
      <c r="A49" s="27">
        <v>20</v>
      </c>
      <c r="B49" s="25" t="s">
        <v>26</v>
      </c>
      <c r="C49" s="19">
        <v>1.004</v>
      </c>
      <c r="D49" s="30">
        <v>6.045012090024178E-3</v>
      </c>
    </row>
    <row r="50" spans="1:4" x14ac:dyDescent="0.2">
      <c r="A50" s="27">
        <v>20</v>
      </c>
      <c r="B50" s="25" t="s">
        <v>26</v>
      </c>
      <c r="C50" s="19">
        <v>1.006</v>
      </c>
      <c r="D50" s="30">
        <v>6.107012214024426E-3</v>
      </c>
    </row>
    <row r="51" spans="1:4" x14ac:dyDescent="0.2">
      <c r="A51" s="27">
        <v>20</v>
      </c>
      <c r="B51" s="25" t="s">
        <v>26</v>
      </c>
      <c r="C51" s="19">
        <v>1.054</v>
      </c>
      <c r="D51" s="30">
        <v>6.6340132680265378E-3</v>
      </c>
    </row>
    <row r="52" spans="1:4" x14ac:dyDescent="0.2">
      <c r="A52" s="27">
        <v>30</v>
      </c>
      <c r="B52" s="25" t="s">
        <v>26</v>
      </c>
      <c r="C52" s="19">
        <v>1.0229999999999999</v>
      </c>
      <c r="D52" s="30">
        <v>6.5410130820261593E-3</v>
      </c>
    </row>
    <row r="53" spans="1:4" x14ac:dyDescent="0.2">
      <c r="A53" s="27">
        <v>30</v>
      </c>
      <c r="B53" s="25" t="s">
        <v>26</v>
      </c>
      <c r="C53" s="19">
        <v>1.0409999999999999</v>
      </c>
      <c r="D53" s="30">
        <v>6.6030132060264108E-3</v>
      </c>
    </row>
    <row r="54" spans="1:4" x14ac:dyDescent="0.2">
      <c r="A54" s="27">
        <v>30</v>
      </c>
      <c r="B54" s="25" t="s">
        <v>26</v>
      </c>
      <c r="C54" s="19">
        <v>1.0309999999999999</v>
      </c>
      <c r="D54" s="30">
        <v>6.8820137640275229E-3</v>
      </c>
    </row>
    <row r="55" spans="1:4" x14ac:dyDescent="0.2">
      <c r="A55" s="27">
        <v>30</v>
      </c>
      <c r="B55" s="25" t="s">
        <v>26</v>
      </c>
      <c r="C55" s="19">
        <v>1.0309999999999999</v>
      </c>
      <c r="D55" s="30">
        <v>6.8820137640275229E-3</v>
      </c>
    </row>
    <row r="56" spans="1:4" x14ac:dyDescent="0.2">
      <c r="A56" s="27">
        <v>30</v>
      </c>
      <c r="B56" s="25" t="s">
        <v>26</v>
      </c>
      <c r="C56" s="19">
        <v>1.079</v>
      </c>
      <c r="D56" s="30">
        <v>7.4090148180296356E-3</v>
      </c>
    </row>
    <row r="57" spans="1:4" x14ac:dyDescent="0.2">
      <c r="A57" s="27">
        <v>40</v>
      </c>
      <c r="B57" s="25" t="s">
        <v>26</v>
      </c>
      <c r="C57" s="19">
        <v>1.0349999999999999</v>
      </c>
      <c r="D57" s="30">
        <v>6.9130138260276473E-3</v>
      </c>
    </row>
    <row r="58" spans="1:4" x14ac:dyDescent="0.2">
      <c r="A58" s="27">
        <v>40</v>
      </c>
      <c r="B58" s="25" t="s">
        <v>26</v>
      </c>
      <c r="C58" s="19">
        <v>1.0609999999999999</v>
      </c>
      <c r="D58" s="30">
        <v>7.2230144460288907E-3</v>
      </c>
    </row>
    <row r="59" spans="1:4" x14ac:dyDescent="0.2">
      <c r="A59" s="27">
        <v>40</v>
      </c>
      <c r="B59" s="25" t="s">
        <v>26</v>
      </c>
      <c r="C59" s="19">
        <v>1.0509999999999999</v>
      </c>
      <c r="D59" s="30">
        <v>7.5020150040300037E-3</v>
      </c>
    </row>
    <row r="60" spans="1:4" x14ac:dyDescent="0.2">
      <c r="A60" s="27">
        <v>40</v>
      </c>
      <c r="B60" s="25" t="s">
        <v>26</v>
      </c>
      <c r="C60" s="19">
        <v>1.0389999999999999</v>
      </c>
      <c r="D60" s="30">
        <v>7.1300142600285157E-3</v>
      </c>
    </row>
    <row r="61" spans="1:4" x14ac:dyDescent="0.2">
      <c r="A61" s="27">
        <v>40</v>
      </c>
      <c r="B61" s="25" t="s">
        <v>26</v>
      </c>
      <c r="C61" s="19">
        <v>1.089</v>
      </c>
      <c r="D61" s="30">
        <v>7.7190154380308755E-3</v>
      </c>
    </row>
    <row r="62" spans="1:4" x14ac:dyDescent="0.2">
      <c r="A62" s="27">
        <v>50</v>
      </c>
      <c r="B62" s="25" t="s">
        <v>26</v>
      </c>
      <c r="C62" s="19">
        <v>1.052</v>
      </c>
      <c r="D62" s="30">
        <v>7.4400148800297591E-3</v>
      </c>
    </row>
    <row r="63" spans="1:4" x14ac:dyDescent="0.2">
      <c r="A63" s="27">
        <v>50</v>
      </c>
      <c r="B63" s="25" t="s">
        <v>26</v>
      </c>
      <c r="C63" s="19">
        <v>1.071</v>
      </c>
      <c r="D63" s="30">
        <v>7.5330150660301316E-3</v>
      </c>
    </row>
    <row r="64" spans="1:4" x14ac:dyDescent="0.2">
      <c r="A64" s="27">
        <v>50</v>
      </c>
      <c r="B64" s="25" t="s">
        <v>26</v>
      </c>
      <c r="C64" s="19">
        <v>1.0660000000000001</v>
      </c>
      <c r="D64" s="30">
        <v>7.9670159340318684E-3</v>
      </c>
    </row>
    <row r="65" spans="1:4" x14ac:dyDescent="0.2">
      <c r="A65" s="27">
        <v>50</v>
      </c>
      <c r="B65" s="25" t="s">
        <v>26</v>
      </c>
      <c r="C65" s="19">
        <v>1.054</v>
      </c>
      <c r="D65" s="30">
        <v>7.5950151900303796E-3</v>
      </c>
    </row>
    <row r="66" spans="1:4" x14ac:dyDescent="0.2">
      <c r="A66" s="27">
        <v>50</v>
      </c>
      <c r="B66" s="25" t="s">
        <v>26</v>
      </c>
      <c r="C66" s="19">
        <v>1.113</v>
      </c>
      <c r="D66" s="30">
        <v>8.4630169260338523E-3</v>
      </c>
    </row>
    <row r="67" spans="1:4" x14ac:dyDescent="0.2">
      <c r="A67" s="27">
        <v>60</v>
      </c>
      <c r="B67" s="25" t="s">
        <v>26</v>
      </c>
      <c r="C67" s="19">
        <v>1.0609999999999999</v>
      </c>
      <c r="D67" s="30">
        <v>7.7190154380308721E-3</v>
      </c>
    </row>
    <row r="68" spans="1:4" x14ac:dyDescent="0.2">
      <c r="A68" s="27">
        <v>60</v>
      </c>
      <c r="B68" s="25" t="s">
        <v>26</v>
      </c>
      <c r="C68" s="19">
        <v>1.081</v>
      </c>
      <c r="D68" s="30">
        <v>7.8430156860313707E-3</v>
      </c>
    </row>
    <row r="69" spans="1:4" x14ac:dyDescent="0.2">
      <c r="A69" s="27">
        <v>60</v>
      </c>
      <c r="B69" s="25" t="s">
        <v>26</v>
      </c>
      <c r="C69" s="19">
        <v>1.0680000000000001</v>
      </c>
      <c r="D69" s="30">
        <v>8.0290160580321155E-3</v>
      </c>
    </row>
    <row r="70" spans="1:4" x14ac:dyDescent="0.2">
      <c r="A70" s="27">
        <v>60</v>
      </c>
      <c r="B70" s="25" t="s">
        <v>26</v>
      </c>
      <c r="C70" s="19">
        <v>1.0680000000000001</v>
      </c>
      <c r="D70" s="30">
        <v>8.0290160580321155E-3</v>
      </c>
    </row>
    <row r="71" spans="1:4" x14ac:dyDescent="0.2">
      <c r="A71" s="27">
        <v>60</v>
      </c>
      <c r="B71" s="25" t="s">
        <v>26</v>
      </c>
      <c r="C71" s="19">
        <v>1.131</v>
      </c>
      <c r="D71" s="30">
        <v>9.0210180420360851E-3</v>
      </c>
    </row>
    <row r="72" spans="1:4" x14ac:dyDescent="0.2">
      <c r="A72" s="27">
        <v>0</v>
      </c>
      <c r="B72" s="25" t="s">
        <v>27</v>
      </c>
      <c r="C72" s="20">
        <v>0.82099999999999995</v>
      </c>
      <c r="D72" s="30">
        <v>0</v>
      </c>
    </row>
    <row r="73" spans="1:4" x14ac:dyDescent="0.2">
      <c r="A73" s="27">
        <v>0</v>
      </c>
      <c r="B73" s="25" t="s">
        <v>27</v>
      </c>
      <c r="C73" s="20">
        <v>0.82199999999999995</v>
      </c>
      <c r="D73" s="30">
        <v>0</v>
      </c>
    </row>
    <row r="74" spans="1:4" x14ac:dyDescent="0.2">
      <c r="A74" s="27">
        <v>0</v>
      </c>
      <c r="B74" s="25" t="s">
        <v>27</v>
      </c>
      <c r="C74" s="20">
        <v>0.82599999999999996</v>
      </c>
      <c r="D74" s="30">
        <v>0</v>
      </c>
    </row>
    <row r="75" spans="1:4" x14ac:dyDescent="0.2">
      <c r="A75" s="27">
        <v>0</v>
      </c>
      <c r="B75" s="25" t="s">
        <v>27</v>
      </c>
      <c r="C75" s="20">
        <v>0.84399999999999997</v>
      </c>
      <c r="D75" s="30">
        <v>0</v>
      </c>
    </row>
    <row r="76" spans="1:4" x14ac:dyDescent="0.2">
      <c r="A76" s="27">
        <v>0</v>
      </c>
      <c r="B76" s="25" t="s">
        <v>27</v>
      </c>
      <c r="C76" s="20">
        <v>0.84899999999999998</v>
      </c>
      <c r="D76" s="30">
        <v>0</v>
      </c>
    </row>
    <row r="77" spans="1:4" x14ac:dyDescent="0.2">
      <c r="A77" s="27">
        <v>10</v>
      </c>
      <c r="B77" s="25" t="s">
        <v>27</v>
      </c>
      <c r="C77" s="20">
        <v>0.99199999999999999</v>
      </c>
      <c r="D77" s="30">
        <v>5.3010106020212047E-3</v>
      </c>
    </row>
    <row r="78" spans="1:4" x14ac:dyDescent="0.2">
      <c r="A78" s="27">
        <v>10</v>
      </c>
      <c r="B78" s="25" t="s">
        <v>27</v>
      </c>
      <c r="C78" s="20">
        <v>0.98499999999999999</v>
      </c>
      <c r="D78" s="30">
        <v>5.0530101060202127E-3</v>
      </c>
    </row>
    <row r="79" spans="1:4" x14ac:dyDescent="0.2">
      <c r="A79" s="27">
        <v>10</v>
      </c>
      <c r="B79" s="25" t="s">
        <v>27</v>
      </c>
      <c r="C79" s="20">
        <v>0.98899999999999999</v>
      </c>
      <c r="D79" s="30">
        <v>5.0530101060202127E-3</v>
      </c>
    </row>
    <row r="80" spans="1:4" x14ac:dyDescent="0.2">
      <c r="A80" s="27">
        <v>10</v>
      </c>
      <c r="B80" s="25" t="s">
        <v>27</v>
      </c>
      <c r="C80" s="20">
        <v>1.006</v>
      </c>
      <c r="D80" s="30">
        <v>5.0220100440200883E-3</v>
      </c>
    </row>
    <row r="81" spans="1:4" x14ac:dyDescent="0.2">
      <c r="A81" s="27">
        <v>10</v>
      </c>
      <c r="B81" s="25" t="s">
        <v>27</v>
      </c>
      <c r="C81" s="20">
        <v>1.0089999999999999</v>
      </c>
      <c r="D81" s="30">
        <v>4.9600099200198368E-3</v>
      </c>
    </row>
    <row r="82" spans="1:4" x14ac:dyDescent="0.2">
      <c r="A82" s="27">
        <v>20</v>
      </c>
      <c r="B82" s="25" t="s">
        <v>27</v>
      </c>
      <c r="C82" s="20">
        <v>1.016</v>
      </c>
      <c r="D82" s="30">
        <v>6.0450120900241815E-3</v>
      </c>
    </row>
    <row r="83" spans="1:4" x14ac:dyDescent="0.2">
      <c r="A83" s="27">
        <v>20</v>
      </c>
      <c r="B83" s="25" t="s">
        <v>27</v>
      </c>
      <c r="C83" s="20">
        <v>1.01</v>
      </c>
      <c r="D83" s="30">
        <v>5.8280116560233131E-3</v>
      </c>
    </row>
    <row r="84" spans="1:4" x14ac:dyDescent="0.2">
      <c r="A84" s="27">
        <v>20</v>
      </c>
      <c r="B84" s="25" t="s">
        <v>27</v>
      </c>
      <c r="C84" s="20">
        <v>1.0209999999999999</v>
      </c>
      <c r="D84" s="30">
        <v>6.045012090024178E-3</v>
      </c>
    </row>
    <row r="85" spans="1:4" x14ac:dyDescent="0.2">
      <c r="A85" s="27">
        <v>20</v>
      </c>
      <c r="B85" s="25" t="s">
        <v>27</v>
      </c>
      <c r="C85" s="20">
        <v>1.0369999999999999</v>
      </c>
      <c r="D85" s="30">
        <v>5.98301196602393E-3</v>
      </c>
    </row>
    <row r="86" spans="1:4" x14ac:dyDescent="0.2">
      <c r="A86" s="27">
        <v>20</v>
      </c>
      <c r="B86" s="25" t="s">
        <v>27</v>
      </c>
      <c r="C86" s="20">
        <v>1.0389999999999999</v>
      </c>
      <c r="D86" s="30">
        <v>5.8900117800235576E-3</v>
      </c>
    </row>
    <row r="87" spans="1:4" x14ac:dyDescent="0.2">
      <c r="A87" s="27">
        <v>30</v>
      </c>
      <c r="B87" s="25" t="s">
        <v>27</v>
      </c>
      <c r="C87" s="20">
        <v>1.042</v>
      </c>
      <c r="D87" s="30">
        <v>6.8510137020274062E-3</v>
      </c>
    </row>
    <row r="88" spans="1:4" x14ac:dyDescent="0.2">
      <c r="A88" s="27">
        <v>30</v>
      </c>
      <c r="B88" s="25" t="s">
        <v>27</v>
      </c>
      <c r="C88" s="20">
        <v>1.032</v>
      </c>
      <c r="D88" s="30">
        <v>6.5100130200260418E-3</v>
      </c>
    </row>
    <row r="89" spans="1:4" x14ac:dyDescent="0.2">
      <c r="A89" s="27">
        <v>30</v>
      </c>
      <c r="B89" s="25" t="s">
        <v>27</v>
      </c>
      <c r="C89" s="20">
        <v>1.044</v>
      </c>
      <c r="D89" s="30">
        <v>6.7580135160270338E-3</v>
      </c>
    </row>
    <row r="90" spans="1:4" x14ac:dyDescent="0.2">
      <c r="A90" s="27">
        <v>30</v>
      </c>
      <c r="B90" s="25" t="s">
        <v>27</v>
      </c>
      <c r="C90" s="20">
        <v>1.06</v>
      </c>
      <c r="D90" s="30">
        <v>6.6960133920267858E-3</v>
      </c>
    </row>
    <row r="91" spans="1:4" x14ac:dyDescent="0.2">
      <c r="A91" s="27">
        <v>30</v>
      </c>
      <c r="B91" s="25" t="s">
        <v>27</v>
      </c>
      <c r="C91" s="20">
        <v>1.0580000000000001</v>
      </c>
      <c r="D91" s="30">
        <v>6.4790129580259174E-3</v>
      </c>
    </row>
    <row r="92" spans="1:4" x14ac:dyDescent="0.2">
      <c r="A92" s="27">
        <v>40</v>
      </c>
      <c r="B92" s="25" t="s">
        <v>27</v>
      </c>
      <c r="C92" s="20">
        <v>1.0529999999999999</v>
      </c>
      <c r="D92" s="30">
        <v>7.1920143840287672E-3</v>
      </c>
    </row>
    <row r="93" spans="1:4" x14ac:dyDescent="0.2">
      <c r="A93" s="27">
        <v>40</v>
      </c>
      <c r="B93" s="25" t="s">
        <v>27</v>
      </c>
      <c r="C93" s="20">
        <v>1.044</v>
      </c>
      <c r="D93" s="30">
        <v>6.8820137640275298E-3</v>
      </c>
    </row>
    <row r="94" spans="1:4" x14ac:dyDescent="0.2">
      <c r="A94" s="27">
        <v>40</v>
      </c>
      <c r="B94" s="25" t="s">
        <v>27</v>
      </c>
      <c r="C94" s="20">
        <v>1.0569999999999999</v>
      </c>
      <c r="D94" s="30">
        <v>7.1610143220286427E-3</v>
      </c>
    </row>
    <row r="95" spans="1:4" x14ac:dyDescent="0.2">
      <c r="A95" s="27">
        <v>40</v>
      </c>
      <c r="B95" s="25" t="s">
        <v>27</v>
      </c>
      <c r="C95" s="20">
        <v>1.0680000000000001</v>
      </c>
      <c r="D95" s="30">
        <v>6.9440138880277778E-3</v>
      </c>
    </row>
    <row r="96" spans="1:4" x14ac:dyDescent="0.2">
      <c r="A96" s="27">
        <v>40</v>
      </c>
      <c r="B96" s="25" t="s">
        <v>27</v>
      </c>
      <c r="C96" s="20">
        <v>1.079</v>
      </c>
      <c r="D96" s="30">
        <v>7.1300142600285192E-3</v>
      </c>
    </row>
    <row r="97" spans="1:4" x14ac:dyDescent="0.2">
      <c r="A97" s="27">
        <v>50</v>
      </c>
      <c r="B97" s="25" t="s">
        <v>27</v>
      </c>
      <c r="C97" s="20">
        <v>1.0640000000000001</v>
      </c>
      <c r="D97" s="30">
        <v>7.533015066030135E-3</v>
      </c>
    </row>
    <row r="98" spans="1:4" x14ac:dyDescent="0.2">
      <c r="A98" s="27">
        <v>50</v>
      </c>
      <c r="B98" s="25" t="s">
        <v>27</v>
      </c>
      <c r="C98" s="20">
        <v>1.0529999999999999</v>
      </c>
      <c r="D98" s="30">
        <v>7.1610143220286427E-3</v>
      </c>
    </row>
    <row r="99" spans="1:4" x14ac:dyDescent="0.2">
      <c r="A99" s="27">
        <v>50</v>
      </c>
      <c r="B99" s="25" t="s">
        <v>27</v>
      </c>
      <c r="C99" s="20">
        <v>1.075</v>
      </c>
      <c r="D99" s="30">
        <v>7.7190154380308755E-3</v>
      </c>
    </row>
    <row r="100" spans="1:4" x14ac:dyDescent="0.2">
      <c r="A100" s="27">
        <v>50</v>
      </c>
      <c r="B100" s="25" t="s">
        <v>27</v>
      </c>
      <c r="C100" s="20">
        <v>1.0860000000000001</v>
      </c>
      <c r="D100" s="30">
        <v>7.5020150040300106E-3</v>
      </c>
    </row>
    <row r="101" spans="1:4" x14ac:dyDescent="0.2">
      <c r="A101" s="27">
        <v>50</v>
      </c>
      <c r="B101" s="25" t="s">
        <v>27</v>
      </c>
      <c r="C101" s="20">
        <v>1.091</v>
      </c>
      <c r="D101" s="30">
        <v>7.5020150040300071E-3</v>
      </c>
    </row>
    <row r="102" spans="1:4" x14ac:dyDescent="0.2">
      <c r="A102" s="27">
        <v>60</v>
      </c>
      <c r="B102" s="25" t="s">
        <v>27</v>
      </c>
      <c r="C102" s="20">
        <v>1.0840000000000001</v>
      </c>
      <c r="D102" s="30">
        <v>8.153016306032615E-3</v>
      </c>
    </row>
    <row r="103" spans="1:4" x14ac:dyDescent="0.2">
      <c r="A103" s="27">
        <v>60</v>
      </c>
      <c r="B103" s="25" t="s">
        <v>27</v>
      </c>
      <c r="C103" s="20">
        <v>1.069</v>
      </c>
      <c r="D103" s="30">
        <v>7.6570153140306275E-3</v>
      </c>
    </row>
    <row r="104" spans="1:4" x14ac:dyDescent="0.2">
      <c r="A104" s="27">
        <v>60</v>
      </c>
      <c r="B104" s="25" t="s">
        <v>27</v>
      </c>
      <c r="C104" s="20">
        <v>1.091</v>
      </c>
      <c r="D104" s="30">
        <v>8.2150164300328603E-3</v>
      </c>
    </row>
    <row r="105" spans="1:4" x14ac:dyDescent="0.2">
      <c r="A105" s="27">
        <v>60</v>
      </c>
      <c r="B105" s="25" t="s">
        <v>27</v>
      </c>
      <c r="C105" s="20">
        <v>1.093</v>
      </c>
      <c r="D105" s="30">
        <v>7.7190154380308755E-3</v>
      </c>
    </row>
    <row r="106" spans="1:4" x14ac:dyDescent="0.2">
      <c r="A106" s="27">
        <v>60</v>
      </c>
      <c r="B106" s="25" t="s">
        <v>27</v>
      </c>
      <c r="C106" s="20">
        <v>1.103</v>
      </c>
      <c r="D106" s="30">
        <v>7.874015748031496E-3</v>
      </c>
    </row>
    <row r="107" spans="1:4" x14ac:dyDescent="0.2">
      <c r="A107" s="27">
        <v>0</v>
      </c>
      <c r="B107" s="25" t="s">
        <v>28</v>
      </c>
      <c r="C107" s="20">
        <v>0.85799999999999998</v>
      </c>
      <c r="D107" s="30">
        <v>0</v>
      </c>
    </row>
    <row r="108" spans="1:4" x14ac:dyDescent="0.2">
      <c r="A108" s="27">
        <v>0</v>
      </c>
      <c r="B108" s="25" t="s">
        <v>28</v>
      </c>
      <c r="C108" s="20">
        <v>0.83899999999999997</v>
      </c>
      <c r="D108" s="30">
        <v>0</v>
      </c>
    </row>
    <row r="109" spans="1:4" x14ac:dyDescent="0.2">
      <c r="A109" s="27">
        <v>0</v>
      </c>
      <c r="B109" s="25" t="s">
        <v>28</v>
      </c>
      <c r="C109" s="20">
        <v>0.86399999999999999</v>
      </c>
      <c r="D109" s="30">
        <v>0</v>
      </c>
    </row>
    <row r="110" spans="1:4" x14ac:dyDescent="0.2">
      <c r="A110" s="27">
        <v>0</v>
      </c>
      <c r="B110" s="25" t="s">
        <v>28</v>
      </c>
      <c r="C110" s="20">
        <v>0.85699999999999998</v>
      </c>
      <c r="D110" s="30">
        <v>0</v>
      </c>
    </row>
    <row r="111" spans="1:4" x14ac:dyDescent="0.2">
      <c r="A111" s="27">
        <v>0</v>
      </c>
      <c r="B111" s="25" t="s">
        <v>28</v>
      </c>
      <c r="C111" s="20">
        <v>0.85799999999999998</v>
      </c>
      <c r="D111" s="30">
        <v>0</v>
      </c>
    </row>
    <row r="112" spans="1:4" x14ac:dyDescent="0.2">
      <c r="A112" s="27">
        <v>10</v>
      </c>
      <c r="B112" s="25" t="s">
        <v>28</v>
      </c>
      <c r="C112" s="20">
        <v>1.0169999999999999</v>
      </c>
      <c r="D112" s="30">
        <v>4.9290098580197133E-3</v>
      </c>
    </row>
    <row r="113" spans="1:4" x14ac:dyDescent="0.2">
      <c r="A113" s="27">
        <v>10</v>
      </c>
      <c r="B113" s="25" t="s">
        <v>28</v>
      </c>
      <c r="C113" s="20">
        <v>0.99399999999999999</v>
      </c>
      <c r="D113" s="30">
        <v>4.8050096100192207E-3</v>
      </c>
    </row>
    <row r="114" spans="1:4" x14ac:dyDescent="0.2">
      <c r="A114" s="27">
        <v>10</v>
      </c>
      <c r="B114" s="25" t="s">
        <v>28</v>
      </c>
      <c r="C114" s="20">
        <v>1.0169999999999999</v>
      </c>
      <c r="D114" s="30">
        <v>4.7430094860189693E-3</v>
      </c>
    </row>
    <row r="115" spans="1:4" x14ac:dyDescent="0.2">
      <c r="A115" s="27">
        <v>10</v>
      </c>
      <c r="B115" s="25" t="s">
        <v>28</v>
      </c>
      <c r="C115" s="20">
        <v>1.0169999999999999</v>
      </c>
      <c r="D115" s="30">
        <v>4.9600099200198368E-3</v>
      </c>
    </row>
    <row r="116" spans="1:4" x14ac:dyDescent="0.2">
      <c r="A116" s="27">
        <v>10</v>
      </c>
      <c r="B116" s="25" t="s">
        <v>28</v>
      </c>
      <c r="C116" s="20">
        <v>1.026</v>
      </c>
      <c r="D116" s="30">
        <v>5.2080104160208331E-3</v>
      </c>
    </row>
    <row r="117" spans="1:4" x14ac:dyDescent="0.2">
      <c r="A117" s="27">
        <v>20</v>
      </c>
      <c r="B117" s="25" t="s">
        <v>28</v>
      </c>
      <c r="C117" s="20">
        <v>1.032</v>
      </c>
      <c r="D117" s="30">
        <v>5.3940107880215771E-3</v>
      </c>
    </row>
    <row r="118" spans="1:4" x14ac:dyDescent="0.2">
      <c r="A118" s="27">
        <v>20</v>
      </c>
      <c r="B118" s="25" t="s">
        <v>28</v>
      </c>
      <c r="C118" s="20">
        <v>1.0209999999999999</v>
      </c>
      <c r="D118" s="30">
        <v>5.6420112840225656E-3</v>
      </c>
    </row>
    <row r="119" spans="1:4" x14ac:dyDescent="0.2">
      <c r="A119" s="27">
        <v>20</v>
      </c>
      <c r="B119" s="25" t="s">
        <v>28</v>
      </c>
      <c r="C119" s="20">
        <v>1.0429999999999999</v>
      </c>
      <c r="D119" s="30">
        <v>5.5490110980221941E-3</v>
      </c>
    </row>
    <row r="120" spans="1:4" x14ac:dyDescent="0.2">
      <c r="A120" s="27">
        <v>20</v>
      </c>
      <c r="B120" s="25" t="s">
        <v>28</v>
      </c>
      <c r="C120" s="20">
        <v>1.0429999999999999</v>
      </c>
      <c r="D120" s="30">
        <v>5.7660115320230616E-3</v>
      </c>
    </row>
    <row r="121" spans="1:4" x14ac:dyDescent="0.2">
      <c r="A121" s="27">
        <v>20</v>
      </c>
      <c r="B121" s="25" t="s">
        <v>28</v>
      </c>
      <c r="C121" s="20">
        <v>1.05</v>
      </c>
      <c r="D121" s="30">
        <v>5.952011904023809E-3</v>
      </c>
    </row>
    <row r="122" spans="1:4" x14ac:dyDescent="0.2">
      <c r="A122" s="27">
        <v>30</v>
      </c>
      <c r="B122" s="25" t="s">
        <v>28</v>
      </c>
      <c r="C122" s="20">
        <v>1.0529999999999999</v>
      </c>
      <c r="D122" s="30">
        <v>6.045012090024178E-3</v>
      </c>
    </row>
    <row r="123" spans="1:4" x14ac:dyDescent="0.2">
      <c r="A123" s="27">
        <v>30</v>
      </c>
      <c r="B123" s="25" t="s">
        <v>28</v>
      </c>
      <c r="C123" s="20">
        <v>1.0329999999999999</v>
      </c>
      <c r="D123" s="30">
        <v>6.0140120280240544E-3</v>
      </c>
    </row>
    <row r="124" spans="1:4" x14ac:dyDescent="0.2">
      <c r="A124" s="27">
        <v>30</v>
      </c>
      <c r="B124" s="25" t="s">
        <v>28</v>
      </c>
      <c r="C124" s="20">
        <v>1.0640000000000001</v>
      </c>
      <c r="D124" s="30">
        <v>6.2000124000248019E-3</v>
      </c>
    </row>
    <row r="125" spans="1:4" x14ac:dyDescent="0.2">
      <c r="A125" s="27">
        <v>30</v>
      </c>
      <c r="B125" s="25" t="s">
        <v>28</v>
      </c>
      <c r="C125" s="20">
        <v>1.0589999999999999</v>
      </c>
      <c r="D125" s="30">
        <v>6.2620125240250464E-3</v>
      </c>
    </row>
    <row r="126" spans="1:4" x14ac:dyDescent="0.2">
      <c r="A126" s="27">
        <v>30</v>
      </c>
      <c r="B126" s="25" t="s">
        <v>28</v>
      </c>
      <c r="C126" s="20">
        <v>1.0760000000000001</v>
      </c>
      <c r="D126" s="30">
        <v>6.7580135160270338E-3</v>
      </c>
    </row>
    <row r="127" spans="1:4" x14ac:dyDescent="0.2">
      <c r="A127" s="27">
        <v>40</v>
      </c>
      <c r="B127" s="25" t="s">
        <v>28</v>
      </c>
      <c r="C127" s="20">
        <v>1.0660000000000001</v>
      </c>
      <c r="D127" s="30">
        <v>6.4480128960257939E-3</v>
      </c>
    </row>
    <row r="128" spans="1:4" x14ac:dyDescent="0.2">
      <c r="A128" s="27">
        <v>40</v>
      </c>
      <c r="B128" s="25" t="s">
        <v>28</v>
      </c>
      <c r="C128" s="20">
        <v>1.0609999999999999</v>
      </c>
      <c r="D128" s="30">
        <v>6.8820137640275263E-3</v>
      </c>
    </row>
    <row r="129" spans="1:4" x14ac:dyDescent="0.2">
      <c r="A129" s="27">
        <v>40</v>
      </c>
      <c r="B129" s="25" t="s">
        <v>28</v>
      </c>
      <c r="C129" s="20">
        <v>1.075</v>
      </c>
      <c r="D129" s="30">
        <v>6.5410130820261628E-3</v>
      </c>
    </row>
    <row r="130" spans="1:4" x14ac:dyDescent="0.2">
      <c r="A130" s="27">
        <v>40</v>
      </c>
      <c r="B130" s="25" t="s">
        <v>28</v>
      </c>
      <c r="C130" s="20">
        <v>1.075</v>
      </c>
      <c r="D130" s="30">
        <v>6.7580135160270303E-3</v>
      </c>
    </row>
    <row r="131" spans="1:4" x14ac:dyDescent="0.2">
      <c r="A131" s="27">
        <v>40</v>
      </c>
      <c r="B131" s="25" t="s">
        <v>28</v>
      </c>
      <c r="C131" s="20">
        <v>1.0960000000000001</v>
      </c>
      <c r="D131" s="30">
        <v>7.3780147560295146E-3</v>
      </c>
    </row>
    <row r="132" spans="1:4" x14ac:dyDescent="0.2">
      <c r="A132" s="27">
        <v>50</v>
      </c>
      <c r="B132" s="25" t="s">
        <v>28</v>
      </c>
      <c r="C132" s="20">
        <v>1.079</v>
      </c>
      <c r="D132" s="30">
        <v>6.8510137020274028E-3</v>
      </c>
    </row>
    <row r="133" spans="1:4" x14ac:dyDescent="0.2">
      <c r="A133" s="27">
        <v>50</v>
      </c>
      <c r="B133" s="25" t="s">
        <v>28</v>
      </c>
      <c r="C133" s="20">
        <v>1.0620000000000001</v>
      </c>
      <c r="D133" s="30">
        <v>6.9130138260276542E-3</v>
      </c>
    </row>
    <row r="134" spans="1:4" x14ac:dyDescent="0.2">
      <c r="A134" s="27">
        <v>50</v>
      </c>
      <c r="B134" s="25" t="s">
        <v>28</v>
      </c>
      <c r="C134" s="20">
        <v>1.0880000000000001</v>
      </c>
      <c r="D134" s="30">
        <v>6.9440138880277778E-3</v>
      </c>
    </row>
    <row r="135" spans="1:4" x14ac:dyDescent="0.2">
      <c r="A135" s="27">
        <v>50</v>
      </c>
      <c r="B135" s="25" t="s">
        <v>28</v>
      </c>
      <c r="C135" s="20">
        <v>1.1040000000000001</v>
      </c>
      <c r="D135" s="30">
        <v>7.657015314030631E-3</v>
      </c>
    </row>
    <row r="136" spans="1:4" x14ac:dyDescent="0.2">
      <c r="A136" s="27">
        <v>50</v>
      </c>
      <c r="B136" s="25" t="s">
        <v>28</v>
      </c>
      <c r="C136" s="20">
        <v>1.1240000000000001</v>
      </c>
      <c r="D136" s="30">
        <v>8.2460164920329874E-3</v>
      </c>
    </row>
    <row r="137" spans="1:4" x14ac:dyDescent="0.2">
      <c r="A137" s="27">
        <v>60</v>
      </c>
      <c r="B137" s="25" t="s">
        <v>28</v>
      </c>
      <c r="C137" s="20">
        <v>1.0880000000000001</v>
      </c>
      <c r="D137" s="30">
        <v>7.1300142600285226E-3</v>
      </c>
    </row>
    <row r="138" spans="1:4" x14ac:dyDescent="0.2">
      <c r="A138" s="27">
        <v>60</v>
      </c>
      <c r="B138" s="25" t="s">
        <v>28</v>
      </c>
      <c r="C138" s="20">
        <v>1.0860000000000001</v>
      </c>
      <c r="D138" s="30">
        <v>7.657015314030631E-3</v>
      </c>
    </row>
    <row r="139" spans="1:4" x14ac:dyDescent="0.2">
      <c r="A139" s="27">
        <v>60</v>
      </c>
      <c r="B139" s="25" t="s">
        <v>28</v>
      </c>
      <c r="C139" s="20">
        <v>1.105</v>
      </c>
      <c r="D139" s="30">
        <v>7.4710149420298836E-3</v>
      </c>
    </row>
    <row r="140" spans="1:4" x14ac:dyDescent="0.2">
      <c r="A140" s="27">
        <v>60</v>
      </c>
      <c r="B140" s="25" t="s">
        <v>28</v>
      </c>
      <c r="C140" s="20">
        <v>1.113</v>
      </c>
      <c r="D140" s="30">
        <v>7.9360158720317431E-3</v>
      </c>
    </row>
    <row r="141" spans="1:4" x14ac:dyDescent="0.2">
      <c r="A141" s="27">
        <v>60</v>
      </c>
      <c r="B141" s="25" t="s">
        <v>28</v>
      </c>
      <c r="C141" s="20">
        <v>1.113</v>
      </c>
      <c r="D141" s="30">
        <v>7.9050158100316195E-3</v>
      </c>
    </row>
    <row r="142" spans="1:4" x14ac:dyDescent="0.2">
      <c r="A142" s="27">
        <v>0</v>
      </c>
      <c r="B142" s="25" t="s">
        <v>29</v>
      </c>
      <c r="C142" s="20">
        <v>0.85799999999999998</v>
      </c>
      <c r="D142" s="30">
        <v>0</v>
      </c>
    </row>
    <row r="143" spans="1:4" x14ac:dyDescent="0.2">
      <c r="A143" s="27">
        <v>0</v>
      </c>
      <c r="B143" s="25" t="s">
        <v>29</v>
      </c>
      <c r="C143" s="20">
        <v>0.84</v>
      </c>
      <c r="D143" s="30">
        <v>0</v>
      </c>
    </row>
    <row r="144" spans="1:4" x14ac:dyDescent="0.2">
      <c r="A144" s="27">
        <v>0</v>
      </c>
      <c r="B144" s="25" t="s">
        <v>29</v>
      </c>
      <c r="C144" s="20">
        <v>0.83199999999999996</v>
      </c>
      <c r="D144" s="30">
        <v>0</v>
      </c>
    </row>
    <row r="145" spans="1:4" x14ac:dyDescent="0.2">
      <c r="A145" s="27">
        <v>0</v>
      </c>
      <c r="B145" s="25" t="s">
        <v>29</v>
      </c>
      <c r="C145" s="20">
        <v>0.84899999999999998</v>
      </c>
      <c r="D145" s="30">
        <v>0</v>
      </c>
    </row>
    <row r="146" spans="1:4" x14ac:dyDescent="0.2">
      <c r="A146" s="27">
        <v>0</v>
      </c>
      <c r="B146" s="25" t="s">
        <v>29</v>
      </c>
      <c r="C146" s="20">
        <v>0.84699999999999998</v>
      </c>
      <c r="D146" s="30">
        <v>0</v>
      </c>
    </row>
    <row r="147" spans="1:4" x14ac:dyDescent="0.2">
      <c r="A147" s="27">
        <v>10</v>
      </c>
      <c r="B147" s="25" t="s">
        <v>29</v>
      </c>
      <c r="C147" s="20">
        <v>1.0289999999999999</v>
      </c>
      <c r="D147" s="30">
        <v>5.3010106020212012E-3</v>
      </c>
    </row>
    <row r="148" spans="1:4" x14ac:dyDescent="0.2">
      <c r="A148" s="27">
        <v>10</v>
      </c>
      <c r="B148" s="25" t="s">
        <v>29</v>
      </c>
      <c r="C148" s="20">
        <v>1.0129999999999999</v>
      </c>
      <c r="D148" s="30">
        <v>5.3630107260214492E-3</v>
      </c>
    </row>
    <row r="149" spans="1:4" x14ac:dyDescent="0.2">
      <c r="A149" s="27">
        <v>10</v>
      </c>
      <c r="B149" s="25" t="s">
        <v>29</v>
      </c>
      <c r="C149" s="20">
        <v>1.0129999999999999</v>
      </c>
      <c r="D149" s="30">
        <v>5.611011222022442E-3</v>
      </c>
    </row>
    <row r="150" spans="1:4" x14ac:dyDescent="0.2">
      <c r="A150" s="27">
        <v>10</v>
      </c>
      <c r="B150" s="25" t="s">
        <v>29</v>
      </c>
      <c r="C150" s="20">
        <v>1.034</v>
      </c>
      <c r="D150" s="30">
        <v>5.7350114700229415E-3</v>
      </c>
    </row>
    <row r="151" spans="1:4" x14ac:dyDescent="0.2">
      <c r="A151" s="27">
        <v>10</v>
      </c>
      <c r="B151" s="25" t="s">
        <v>29</v>
      </c>
      <c r="C151" s="20">
        <v>1.0109999999999999</v>
      </c>
      <c r="D151" s="30">
        <v>5.0840101680203337E-3</v>
      </c>
    </row>
    <row r="152" spans="1:4" x14ac:dyDescent="0.2">
      <c r="A152" s="27">
        <v>20</v>
      </c>
      <c r="B152" s="25" t="s">
        <v>29</v>
      </c>
      <c r="C152" s="20">
        <v>1.056</v>
      </c>
      <c r="D152" s="30">
        <v>6.1380122760245539E-3</v>
      </c>
    </row>
    <row r="153" spans="1:4" x14ac:dyDescent="0.2">
      <c r="A153" s="27">
        <v>20</v>
      </c>
      <c r="B153" s="25" t="s">
        <v>29</v>
      </c>
      <c r="C153" s="20">
        <v>1.034</v>
      </c>
      <c r="D153" s="30">
        <v>6.014012028024057E-3</v>
      </c>
    </row>
    <row r="154" spans="1:4" x14ac:dyDescent="0.2">
      <c r="A154" s="27">
        <v>20</v>
      </c>
      <c r="B154" s="25" t="s">
        <v>29</v>
      </c>
      <c r="C154" s="20">
        <v>1.0429999999999999</v>
      </c>
      <c r="D154" s="30">
        <v>6.5410130820261628E-3</v>
      </c>
    </row>
    <row r="155" spans="1:4" x14ac:dyDescent="0.2">
      <c r="A155" s="27">
        <v>20</v>
      </c>
      <c r="B155" s="25" t="s">
        <v>29</v>
      </c>
      <c r="C155" s="20">
        <v>1.0580000000000001</v>
      </c>
      <c r="D155" s="30">
        <v>6.4790129580259174E-3</v>
      </c>
    </row>
    <row r="156" spans="1:4" x14ac:dyDescent="0.2">
      <c r="A156" s="27">
        <v>20</v>
      </c>
      <c r="B156" s="25" t="s">
        <v>29</v>
      </c>
      <c r="C156" s="20">
        <v>1.05</v>
      </c>
      <c r="D156" s="30">
        <v>6.2930125860251734E-3</v>
      </c>
    </row>
    <row r="157" spans="1:4" x14ac:dyDescent="0.2">
      <c r="A157" s="27">
        <v>30</v>
      </c>
      <c r="B157" s="25" t="s">
        <v>29</v>
      </c>
      <c r="C157" s="20">
        <v>1.0740000000000001</v>
      </c>
      <c r="D157" s="30">
        <v>6.6960133920267858E-3</v>
      </c>
    </row>
    <row r="158" spans="1:4" x14ac:dyDescent="0.2">
      <c r="A158" s="27">
        <v>30</v>
      </c>
      <c r="B158" s="25" t="s">
        <v>29</v>
      </c>
      <c r="C158" s="20">
        <v>1.0629999999999999</v>
      </c>
      <c r="D158" s="30">
        <v>6.9130138260276508E-3</v>
      </c>
    </row>
    <row r="159" spans="1:4" x14ac:dyDescent="0.2">
      <c r="A159" s="27">
        <v>30</v>
      </c>
      <c r="B159" s="25" t="s">
        <v>29</v>
      </c>
      <c r="C159" s="20">
        <v>1.075</v>
      </c>
      <c r="D159" s="30">
        <v>7.5330150660301316E-3</v>
      </c>
    </row>
    <row r="160" spans="1:4" x14ac:dyDescent="0.2">
      <c r="A160" s="27">
        <v>30</v>
      </c>
      <c r="B160" s="25" t="s">
        <v>29</v>
      </c>
      <c r="C160" s="20">
        <v>1.0860000000000001</v>
      </c>
      <c r="D160" s="30">
        <v>7.3470146940293902E-3</v>
      </c>
    </row>
    <row r="161" spans="1:4" x14ac:dyDescent="0.2">
      <c r="A161" s="27">
        <v>30</v>
      </c>
      <c r="B161" s="25" t="s">
        <v>29</v>
      </c>
      <c r="C161" s="20">
        <v>1.0720000000000001</v>
      </c>
      <c r="D161" s="30">
        <v>6.9750139500279022E-3</v>
      </c>
    </row>
    <row r="162" spans="1:4" x14ac:dyDescent="0.2">
      <c r="A162" s="27">
        <v>40</v>
      </c>
      <c r="B162" s="25" t="s">
        <v>29</v>
      </c>
      <c r="C162" s="20">
        <v>1.099</v>
      </c>
      <c r="D162" s="30">
        <v>7.4710149420298836E-3</v>
      </c>
    </row>
    <row r="163" spans="1:4" x14ac:dyDescent="0.2">
      <c r="A163" s="27">
        <v>40</v>
      </c>
      <c r="B163" s="25" t="s">
        <v>29</v>
      </c>
      <c r="C163" s="20">
        <v>1.083</v>
      </c>
      <c r="D163" s="30">
        <v>7.5330150660301316E-3</v>
      </c>
    </row>
    <row r="164" spans="1:4" x14ac:dyDescent="0.2">
      <c r="A164" s="27">
        <v>40</v>
      </c>
      <c r="B164" s="25" t="s">
        <v>29</v>
      </c>
      <c r="C164" s="20">
        <v>1.087</v>
      </c>
      <c r="D164" s="30">
        <v>7.9050158100316195E-3</v>
      </c>
    </row>
    <row r="165" spans="1:4" x14ac:dyDescent="0.2">
      <c r="A165" s="27">
        <v>40</v>
      </c>
      <c r="B165" s="25" t="s">
        <v>29</v>
      </c>
      <c r="C165" s="20">
        <v>1.109</v>
      </c>
      <c r="D165" s="30">
        <v>8.0600161200322391E-3</v>
      </c>
    </row>
    <row r="166" spans="1:4" x14ac:dyDescent="0.2">
      <c r="A166" s="27">
        <v>40</v>
      </c>
      <c r="B166" s="25" t="s">
        <v>29</v>
      </c>
      <c r="C166" s="20">
        <v>1.099</v>
      </c>
      <c r="D166" s="30">
        <v>7.8120156240312471E-3</v>
      </c>
    </row>
    <row r="167" spans="1:4" x14ac:dyDescent="0.2">
      <c r="A167" s="27">
        <v>50</v>
      </c>
      <c r="B167" s="25" t="s">
        <v>29</v>
      </c>
      <c r="C167" s="20">
        <v>1.1080000000000001</v>
      </c>
      <c r="D167" s="30">
        <v>7.7500155000310026E-3</v>
      </c>
    </row>
    <row r="168" spans="1:4" x14ac:dyDescent="0.2">
      <c r="A168" s="27">
        <v>50</v>
      </c>
      <c r="B168" s="25" t="s">
        <v>29</v>
      </c>
      <c r="C168" s="20">
        <v>1.089</v>
      </c>
      <c r="D168" s="30">
        <v>7.7190154380308755E-3</v>
      </c>
    </row>
    <row r="169" spans="1:4" x14ac:dyDescent="0.2">
      <c r="A169" s="27">
        <v>50</v>
      </c>
      <c r="B169" s="25" t="s">
        <v>29</v>
      </c>
      <c r="C169" s="20">
        <v>1.1020000000000001</v>
      </c>
      <c r="D169" s="30">
        <v>8.3700167400334834E-3</v>
      </c>
    </row>
    <row r="170" spans="1:4" x14ac:dyDescent="0.2">
      <c r="A170" s="27">
        <v>50</v>
      </c>
      <c r="B170" s="25" t="s">
        <v>29</v>
      </c>
      <c r="C170" s="20">
        <v>1.125</v>
      </c>
      <c r="D170" s="30">
        <v>8.5560171120342247E-3</v>
      </c>
    </row>
    <row r="171" spans="1:4" x14ac:dyDescent="0.2">
      <c r="A171" s="27">
        <v>50</v>
      </c>
      <c r="B171" s="25" t="s">
        <v>29</v>
      </c>
      <c r="C171" s="20">
        <v>1.1100000000000001</v>
      </c>
      <c r="D171" s="30">
        <v>8.153016306032615E-3</v>
      </c>
    </row>
    <row r="172" spans="1:4" x14ac:dyDescent="0.2">
      <c r="A172" s="27">
        <v>60</v>
      </c>
      <c r="B172" s="25" t="s">
        <v>29</v>
      </c>
      <c r="C172" s="20">
        <v>1.1200000000000001</v>
      </c>
      <c r="D172" s="30">
        <v>8.1220162440324914E-3</v>
      </c>
    </row>
    <row r="173" spans="1:4" x14ac:dyDescent="0.2">
      <c r="A173" s="27">
        <v>60</v>
      </c>
      <c r="B173" s="25" t="s">
        <v>29</v>
      </c>
      <c r="C173" s="20">
        <v>1.1000000000000001</v>
      </c>
      <c r="D173" s="30">
        <v>8.0600161200322425E-3</v>
      </c>
    </row>
    <row r="174" spans="1:4" x14ac:dyDescent="0.2">
      <c r="A174" s="27">
        <v>60</v>
      </c>
      <c r="B174" s="25" t="s">
        <v>29</v>
      </c>
      <c r="C174" s="20">
        <v>1.115</v>
      </c>
      <c r="D174" s="30">
        <v>8.7730175460350914E-3</v>
      </c>
    </row>
    <row r="175" spans="1:4" x14ac:dyDescent="0.2">
      <c r="A175" s="27">
        <v>60</v>
      </c>
      <c r="B175" s="25" t="s">
        <v>29</v>
      </c>
      <c r="C175" s="20">
        <v>1.145</v>
      </c>
      <c r="D175" s="30">
        <v>9.1760183520367047E-3</v>
      </c>
    </row>
    <row r="176" spans="1:4" x14ac:dyDescent="0.2">
      <c r="A176" s="27">
        <v>60</v>
      </c>
      <c r="B176" s="25" t="s">
        <v>29</v>
      </c>
      <c r="C176" s="20">
        <v>1.1259999999999999</v>
      </c>
      <c r="D176" s="30">
        <v>8.649017298034592E-3</v>
      </c>
    </row>
    <row r="177" spans="1:4" x14ac:dyDescent="0.2">
      <c r="A177" s="27">
        <v>0</v>
      </c>
      <c r="B177" s="25" t="s">
        <v>30</v>
      </c>
      <c r="C177" s="20">
        <v>0.873</v>
      </c>
      <c r="D177" s="30">
        <v>0</v>
      </c>
    </row>
    <row r="178" spans="1:4" x14ac:dyDescent="0.2">
      <c r="A178" s="27">
        <v>0</v>
      </c>
      <c r="B178" s="25" t="s">
        <v>30</v>
      </c>
      <c r="C178" s="20">
        <v>0.874</v>
      </c>
      <c r="D178" s="30">
        <v>0</v>
      </c>
    </row>
    <row r="179" spans="1:4" x14ac:dyDescent="0.2">
      <c r="A179" s="27">
        <v>0</v>
      </c>
      <c r="B179" s="25" t="s">
        <v>30</v>
      </c>
      <c r="C179" s="20">
        <v>0.88900000000000001</v>
      </c>
      <c r="D179" s="30">
        <v>0</v>
      </c>
    </row>
    <row r="180" spans="1:4" x14ac:dyDescent="0.2">
      <c r="A180" s="27">
        <v>0</v>
      </c>
      <c r="B180" s="25" t="s">
        <v>30</v>
      </c>
      <c r="C180" s="20">
        <v>0.90900000000000003</v>
      </c>
      <c r="D180" s="30">
        <v>0</v>
      </c>
    </row>
    <row r="181" spans="1:4" x14ac:dyDescent="0.2">
      <c r="A181" s="27">
        <v>0</v>
      </c>
      <c r="B181" s="25" t="s">
        <v>30</v>
      </c>
      <c r="C181" s="20">
        <v>0.88</v>
      </c>
      <c r="D181" s="30">
        <v>0</v>
      </c>
    </row>
    <row r="182" spans="1:4" x14ac:dyDescent="0.2">
      <c r="A182" s="27">
        <v>10</v>
      </c>
      <c r="B182" s="25" t="s">
        <v>30</v>
      </c>
      <c r="C182" s="20">
        <v>0.97599999999999998</v>
      </c>
      <c r="D182" s="30">
        <v>3.1930063860127712E-3</v>
      </c>
    </row>
    <row r="183" spans="1:4" x14ac:dyDescent="0.2">
      <c r="A183" s="27">
        <v>10</v>
      </c>
      <c r="B183" s="25" t="s">
        <v>30</v>
      </c>
      <c r="C183" s="20">
        <v>0.97299999999999998</v>
      </c>
      <c r="D183" s="30">
        <v>3.0690061380122752E-3</v>
      </c>
    </row>
    <row r="184" spans="1:4" x14ac:dyDescent="0.2">
      <c r="A184" s="27">
        <v>10</v>
      </c>
      <c r="B184" s="25" t="s">
        <v>30</v>
      </c>
      <c r="C184" s="20">
        <v>0.98699999999999999</v>
      </c>
      <c r="D184" s="30">
        <v>3.0380060760121512E-3</v>
      </c>
    </row>
    <row r="185" spans="1:4" x14ac:dyDescent="0.2">
      <c r="A185" s="27">
        <v>10</v>
      </c>
      <c r="B185" s="25" t="s">
        <v>30</v>
      </c>
      <c r="C185" s="20">
        <v>1.012</v>
      </c>
      <c r="D185" s="30">
        <v>3.1930063860127712E-3</v>
      </c>
    </row>
    <row r="186" spans="1:4" x14ac:dyDescent="0.2">
      <c r="A186" s="27">
        <v>10</v>
      </c>
      <c r="B186" s="25" t="s">
        <v>30</v>
      </c>
      <c r="C186" s="20">
        <v>0.97</v>
      </c>
      <c r="D186" s="30">
        <v>2.7900055800111588E-3</v>
      </c>
    </row>
    <row r="187" spans="1:4" x14ac:dyDescent="0.2">
      <c r="A187" s="27">
        <v>20</v>
      </c>
      <c r="B187" s="25" t="s">
        <v>30</v>
      </c>
      <c r="C187" s="20">
        <v>1.014</v>
      </c>
      <c r="D187" s="30">
        <v>4.3710087420174839E-3</v>
      </c>
    </row>
    <row r="188" spans="1:4" x14ac:dyDescent="0.2">
      <c r="A188" s="27">
        <v>20</v>
      </c>
      <c r="B188" s="25" t="s">
        <v>30</v>
      </c>
      <c r="C188" s="20">
        <v>1.0089999999999999</v>
      </c>
      <c r="D188" s="30">
        <v>4.1850083700167365E-3</v>
      </c>
    </row>
    <row r="189" spans="1:4" x14ac:dyDescent="0.2">
      <c r="A189" s="27">
        <v>20</v>
      </c>
      <c r="B189" s="25" t="s">
        <v>30</v>
      </c>
      <c r="C189" s="20">
        <v>1.028</v>
      </c>
      <c r="D189" s="30">
        <v>4.3090086180172359E-3</v>
      </c>
    </row>
    <row r="190" spans="1:4" x14ac:dyDescent="0.2">
      <c r="A190" s="27">
        <v>20</v>
      </c>
      <c r="B190" s="25" t="s">
        <v>30</v>
      </c>
      <c r="C190" s="20">
        <v>1.0609999999999999</v>
      </c>
      <c r="D190" s="30">
        <v>4.7120094240188449E-3</v>
      </c>
    </row>
    <row r="191" spans="1:4" x14ac:dyDescent="0.2">
      <c r="A191" s="27">
        <v>20</v>
      </c>
      <c r="B191" s="25" t="s">
        <v>30</v>
      </c>
      <c r="C191" s="20">
        <v>1.0169999999999999</v>
      </c>
      <c r="D191" s="30">
        <v>4.2470084940169845E-3</v>
      </c>
    </row>
    <row r="192" spans="1:4" x14ac:dyDescent="0.2">
      <c r="A192" s="27">
        <v>30</v>
      </c>
      <c r="B192" s="25" t="s">
        <v>30</v>
      </c>
      <c r="C192" s="20">
        <v>1.0369999999999999</v>
      </c>
      <c r="D192" s="30">
        <v>5.0840101680203337E-3</v>
      </c>
    </row>
    <row r="193" spans="1:4" x14ac:dyDescent="0.2">
      <c r="A193" s="27">
        <v>30</v>
      </c>
      <c r="B193" s="25" t="s">
        <v>30</v>
      </c>
      <c r="C193" s="20">
        <v>1.0269999999999999</v>
      </c>
      <c r="D193" s="30">
        <v>4.7430094860189693E-3</v>
      </c>
    </row>
    <row r="194" spans="1:4" x14ac:dyDescent="0.2">
      <c r="A194" s="27">
        <v>30</v>
      </c>
      <c r="B194" s="25" t="s">
        <v>30</v>
      </c>
      <c r="C194" s="20">
        <v>1.0580000000000001</v>
      </c>
      <c r="D194" s="30">
        <v>5.2390104780209567E-3</v>
      </c>
    </row>
    <row r="195" spans="1:4" x14ac:dyDescent="0.2">
      <c r="A195" s="27">
        <v>30</v>
      </c>
      <c r="B195" s="25" t="s">
        <v>30</v>
      </c>
      <c r="C195" s="20">
        <v>1.1000000000000001</v>
      </c>
      <c r="D195" s="30">
        <v>5.9210118420236855E-3</v>
      </c>
    </row>
    <row r="196" spans="1:4" x14ac:dyDescent="0.2">
      <c r="A196" s="27">
        <v>30</v>
      </c>
      <c r="B196" s="25" t="s">
        <v>30</v>
      </c>
      <c r="C196" s="20">
        <v>1.056</v>
      </c>
      <c r="D196" s="30">
        <v>5.4560109120218251E-3</v>
      </c>
    </row>
    <row r="197" spans="1:4" x14ac:dyDescent="0.2">
      <c r="A197" s="27">
        <v>40</v>
      </c>
      <c r="B197" s="25" t="s">
        <v>30</v>
      </c>
      <c r="C197" s="20">
        <v>1.056</v>
      </c>
      <c r="D197" s="30">
        <v>5.6730113460226935E-3</v>
      </c>
    </row>
    <row r="198" spans="1:4" x14ac:dyDescent="0.2">
      <c r="A198" s="27">
        <v>40</v>
      </c>
      <c r="B198" s="25" t="s">
        <v>30</v>
      </c>
      <c r="C198" s="20">
        <v>1.044</v>
      </c>
      <c r="D198" s="30">
        <v>5.2700105400210811E-3</v>
      </c>
    </row>
    <row r="199" spans="1:4" x14ac:dyDescent="0.2">
      <c r="A199" s="27">
        <v>40</v>
      </c>
      <c r="B199" s="25" t="s">
        <v>30</v>
      </c>
      <c r="C199" s="20">
        <v>1.0840000000000001</v>
      </c>
      <c r="D199" s="30">
        <v>6.0450120900241815E-3</v>
      </c>
    </row>
    <row r="200" spans="1:4" x14ac:dyDescent="0.2">
      <c r="A200" s="27">
        <v>40</v>
      </c>
      <c r="B200" s="25" t="s">
        <v>30</v>
      </c>
      <c r="C200" s="20">
        <v>1.135</v>
      </c>
      <c r="D200" s="30">
        <v>7.0060140120280232E-3</v>
      </c>
    </row>
    <row r="201" spans="1:4" x14ac:dyDescent="0.2">
      <c r="A201" s="27">
        <v>40</v>
      </c>
      <c r="B201" s="25" t="s">
        <v>30</v>
      </c>
      <c r="C201" s="20">
        <v>1.0840000000000001</v>
      </c>
      <c r="D201" s="30">
        <v>6.3240126480252979E-3</v>
      </c>
    </row>
    <row r="202" spans="1:4" x14ac:dyDescent="0.2">
      <c r="A202" s="27">
        <v>50</v>
      </c>
      <c r="B202" s="25" t="s">
        <v>30</v>
      </c>
      <c r="C202" s="20">
        <v>1.079</v>
      </c>
      <c r="D202" s="30">
        <v>6.3860127720255424E-3</v>
      </c>
    </row>
    <row r="203" spans="1:4" x14ac:dyDescent="0.2">
      <c r="A203" s="27">
        <v>50</v>
      </c>
      <c r="B203" s="25" t="s">
        <v>30</v>
      </c>
      <c r="C203" s="20">
        <v>1.0640000000000001</v>
      </c>
      <c r="D203" s="30">
        <v>5.8900117800235611E-3</v>
      </c>
    </row>
    <row r="204" spans="1:4" x14ac:dyDescent="0.2">
      <c r="A204" s="27">
        <v>50</v>
      </c>
      <c r="B204" s="25" t="s">
        <v>30</v>
      </c>
      <c r="C204" s="20">
        <v>1.107</v>
      </c>
      <c r="D204" s="30">
        <v>6.7580135160270303E-3</v>
      </c>
    </row>
    <row r="205" spans="1:4" x14ac:dyDescent="0.2">
      <c r="A205" s="27">
        <v>50</v>
      </c>
      <c r="B205" s="25" t="s">
        <v>30</v>
      </c>
      <c r="C205" s="20">
        <v>1.17</v>
      </c>
      <c r="D205" s="30">
        <v>8.0910161820323609E-3</v>
      </c>
    </row>
    <row r="206" spans="1:4" x14ac:dyDescent="0.2">
      <c r="A206" s="27">
        <v>50</v>
      </c>
      <c r="B206" s="25" t="s">
        <v>30</v>
      </c>
      <c r="C206" s="20">
        <v>1.117</v>
      </c>
      <c r="D206" s="30">
        <v>7.3470146940293867E-3</v>
      </c>
    </row>
    <row r="207" spans="1:4" x14ac:dyDescent="0.2">
      <c r="A207" s="27">
        <v>60</v>
      </c>
      <c r="B207" s="25" t="s">
        <v>30</v>
      </c>
      <c r="C207" s="20">
        <v>1.0940000000000001</v>
      </c>
      <c r="D207" s="30">
        <v>6.8510137020274062E-3</v>
      </c>
    </row>
    <row r="208" spans="1:4" x14ac:dyDescent="0.2">
      <c r="A208" s="27">
        <v>60</v>
      </c>
      <c r="B208" s="25" t="s">
        <v>30</v>
      </c>
      <c r="C208" s="20">
        <v>1.085</v>
      </c>
      <c r="D208" s="30">
        <v>6.5410130820261628E-3</v>
      </c>
    </row>
    <row r="209" spans="1:4" x14ac:dyDescent="0.2">
      <c r="A209" s="27">
        <v>60</v>
      </c>
      <c r="B209" s="25" t="s">
        <v>30</v>
      </c>
      <c r="C209" s="20">
        <v>1.1299999999999999</v>
      </c>
      <c r="D209" s="30">
        <v>7.4710149420298801E-3</v>
      </c>
    </row>
    <row r="210" spans="1:4" x14ac:dyDescent="0.2">
      <c r="A210" s="27">
        <v>60</v>
      </c>
      <c r="B210" s="25" t="s">
        <v>30</v>
      </c>
      <c r="C210" s="20">
        <v>1.208</v>
      </c>
      <c r="D210" s="30">
        <v>9.2690185380370736E-3</v>
      </c>
    </row>
    <row r="211" spans="1:4" x14ac:dyDescent="0.2">
      <c r="A211" s="27">
        <v>60</v>
      </c>
      <c r="B211" s="25" t="s">
        <v>30</v>
      </c>
      <c r="C211" s="20">
        <v>1.1499999999999999</v>
      </c>
      <c r="D211" s="30">
        <v>8.3700167400334764E-3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3CB3-4524-1647-909E-0E71B3CCFEAA}">
  <dimension ref="A1:D43"/>
  <sheetViews>
    <sheetView workbookViewId="0">
      <selection activeCell="C80" sqref="C80"/>
    </sheetView>
  </sheetViews>
  <sheetFormatPr baseColWidth="10" defaultRowHeight="16" x14ac:dyDescent="0.2"/>
  <sheetData>
    <row r="1" spans="1:4" x14ac:dyDescent="0.2">
      <c r="A1" s="26" t="s">
        <v>22</v>
      </c>
      <c r="B1" s="26" t="s">
        <v>23</v>
      </c>
      <c r="C1" s="26" t="s">
        <v>31</v>
      </c>
      <c r="D1" s="26" t="s">
        <v>32</v>
      </c>
    </row>
    <row r="2" spans="1:4" x14ac:dyDescent="0.2">
      <c r="A2" s="28">
        <v>0</v>
      </c>
      <c r="B2" s="25" t="s">
        <v>25</v>
      </c>
      <c r="C2" s="20">
        <v>0</v>
      </c>
      <c r="D2" s="19">
        <v>0</v>
      </c>
    </row>
    <row r="3" spans="1:4" x14ac:dyDescent="0.2">
      <c r="A3" s="28">
        <v>10</v>
      </c>
      <c r="B3" s="25" t="s">
        <v>25</v>
      </c>
      <c r="C3" s="20">
        <v>0.13059999999999999</v>
      </c>
      <c r="D3" s="19">
        <v>2.1509877097499984E-3</v>
      </c>
    </row>
    <row r="4" spans="1:4" x14ac:dyDescent="0.2">
      <c r="A4" s="28">
        <v>20</v>
      </c>
      <c r="B4" s="25" t="s">
        <v>25</v>
      </c>
      <c r="C4" s="20">
        <v>0.17760000000000001</v>
      </c>
      <c r="D4" s="19">
        <v>3.6704225779395981E-3</v>
      </c>
    </row>
    <row r="5" spans="1:4" x14ac:dyDescent="0.2">
      <c r="A5" s="28">
        <v>30</v>
      </c>
      <c r="B5" s="25" t="s">
        <v>25</v>
      </c>
      <c r="C5" s="20">
        <v>0.2026</v>
      </c>
      <c r="D5" s="19">
        <v>5.377469274374963E-3</v>
      </c>
    </row>
    <row r="6" spans="1:4" x14ac:dyDescent="0.2">
      <c r="A6" s="28">
        <v>40</v>
      </c>
      <c r="B6" s="25" t="s">
        <v>25</v>
      </c>
      <c r="C6" s="20">
        <v>0.22770000000000001</v>
      </c>
      <c r="D6" s="19">
        <v>5.2364383598754545E-3</v>
      </c>
    </row>
    <row r="7" spans="1:4" x14ac:dyDescent="0.2">
      <c r="A7" s="28">
        <v>50</v>
      </c>
      <c r="B7" s="25" t="s">
        <v>25</v>
      </c>
      <c r="C7" s="20">
        <v>0.24879999999999999</v>
      </c>
      <c r="D7" s="19">
        <v>7.4466728890361447E-3</v>
      </c>
    </row>
    <row r="8" spans="1:4" x14ac:dyDescent="0.2">
      <c r="A8" s="28">
        <v>60</v>
      </c>
      <c r="B8" s="25" t="s">
        <v>25</v>
      </c>
      <c r="C8" s="20">
        <v>0.27110000000000001</v>
      </c>
      <c r="D8" s="19">
        <v>1.4246562879763157E-2</v>
      </c>
    </row>
    <row r="9" spans="1:4" x14ac:dyDescent="0.2">
      <c r="A9" s="28">
        <v>0</v>
      </c>
      <c r="B9" s="25" t="s">
        <v>26</v>
      </c>
      <c r="C9" s="19">
        <v>0</v>
      </c>
      <c r="D9" s="19">
        <v>0</v>
      </c>
    </row>
    <row r="10" spans="1:4" x14ac:dyDescent="0.2">
      <c r="A10" s="28">
        <v>10</v>
      </c>
      <c r="B10" s="25" t="s">
        <v>26</v>
      </c>
      <c r="C10" s="19">
        <v>0.16335625643432833</v>
      </c>
      <c r="D10" s="19">
        <v>7.084003537700773E-3</v>
      </c>
    </row>
    <row r="11" spans="1:4" x14ac:dyDescent="0.2">
      <c r="A11" s="28">
        <v>20</v>
      </c>
      <c r="B11" s="25" t="s">
        <v>26</v>
      </c>
      <c r="C11" s="19">
        <v>0.19302190873781447</v>
      </c>
      <c r="D11" s="19">
        <v>7.9980542754788664E-3</v>
      </c>
    </row>
    <row r="12" spans="1:4" x14ac:dyDescent="0.2">
      <c r="A12" s="28">
        <v>30</v>
      </c>
      <c r="B12" s="25" t="s">
        <v>26</v>
      </c>
      <c r="C12" s="19">
        <v>0.21605182302604709</v>
      </c>
      <c r="D12" s="19">
        <v>9.4449090189917661E-3</v>
      </c>
    </row>
    <row r="13" spans="1:4" x14ac:dyDescent="0.2">
      <c r="A13" s="28">
        <v>40</v>
      </c>
      <c r="B13" s="25" t="s">
        <v>26</v>
      </c>
      <c r="C13" s="19">
        <v>0.22971363658686308</v>
      </c>
      <c r="D13" s="19">
        <v>8.7222133290065975E-3</v>
      </c>
    </row>
    <row r="14" spans="1:4" x14ac:dyDescent="0.2">
      <c r="A14" s="28">
        <v>50</v>
      </c>
      <c r="B14" s="25" t="s">
        <v>26</v>
      </c>
      <c r="C14" s="19">
        <v>0.24552230656437882</v>
      </c>
      <c r="D14" s="19">
        <v>1.1610088593205154E-2</v>
      </c>
    </row>
    <row r="15" spans="1:4" x14ac:dyDescent="0.2">
      <c r="A15" s="28">
        <v>60</v>
      </c>
      <c r="B15" s="25" t="s">
        <v>26</v>
      </c>
      <c r="C15" s="19">
        <v>0.25586625111756806</v>
      </c>
      <c r="D15" s="19">
        <v>1.4219396460930026E-2</v>
      </c>
    </row>
    <row r="16" spans="1:4" x14ac:dyDescent="0.2">
      <c r="A16" s="28">
        <v>0</v>
      </c>
      <c r="B16" s="25" t="s">
        <v>27</v>
      </c>
      <c r="C16" s="19">
        <v>0</v>
      </c>
      <c r="D16" s="19">
        <v>0</v>
      </c>
    </row>
    <row r="17" spans="1:4" x14ac:dyDescent="0.2">
      <c r="A17" s="28">
        <v>10</v>
      </c>
      <c r="B17" s="25" t="s">
        <v>27</v>
      </c>
      <c r="C17" s="19">
        <v>0.15738527392480059</v>
      </c>
      <c r="D17" s="19">
        <v>3.5378634101560814E-3</v>
      </c>
    </row>
    <row r="18" spans="1:4" x14ac:dyDescent="0.2">
      <c r="A18" s="28">
        <v>20</v>
      </c>
      <c r="B18" s="25" t="s">
        <v>27</v>
      </c>
      <c r="C18" s="19">
        <v>0.18467307477623121</v>
      </c>
      <c r="D18" s="19">
        <v>2.6190289294197367E-3</v>
      </c>
    </row>
    <row r="19" spans="1:4" x14ac:dyDescent="0.2">
      <c r="A19" s="28">
        <v>30</v>
      </c>
      <c r="B19" s="25" t="s">
        <v>27</v>
      </c>
      <c r="C19" s="19">
        <v>0.20638801489039793</v>
      </c>
      <c r="D19" s="19">
        <v>4.3452028844091451E-3</v>
      </c>
    </row>
    <row r="20" spans="1:4" x14ac:dyDescent="0.2">
      <c r="A20" s="28">
        <v>40</v>
      </c>
      <c r="B20" s="25" t="s">
        <v>27</v>
      </c>
      <c r="C20" s="19">
        <v>0.21887890964633444</v>
      </c>
      <c r="D20" s="19">
        <v>3.779463131696496E-3</v>
      </c>
    </row>
    <row r="21" spans="1:4" x14ac:dyDescent="0.2">
      <c r="A21" s="28">
        <v>50</v>
      </c>
      <c r="B21" s="25" t="s">
        <v>27</v>
      </c>
      <c r="C21" s="19">
        <v>0.23194630723716037</v>
      </c>
      <c r="D21" s="19">
        <v>5.4692101632187748E-3</v>
      </c>
    </row>
    <row r="22" spans="1:4" x14ac:dyDescent="0.2">
      <c r="A22" s="28">
        <v>60</v>
      </c>
      <c r="B22" s="25" t="s">
        <v>27</v>
      </c>
      <c r="C22" s="19">
        <v>0.24559020766287568</v>
      </c>
      <c r="D22" s="19">
        <v>6.8213035356755559E-3</v>
      </c>
    </row>
    <row r="23" spans="1:4" x14ac:dyDescent="0.2">
      <c r="A23" s="28">
        <v>0</v>
      </c>
      <c r="B23" s="25" t="s">
        <v>28</v>
      </c>
      <c r="C23" s="19">
        <v>0</v>
      </c>
      <c r="D23" s="19">
        <v>0</v>
      </c>
    </row>
    <row r="24" spans="1:4" x14ac:dyDescent="0.2">
      <c r="A24" s="28">
        <v>10</v>
      </c>
      <c r="B24" s="25" t="s">
        <v>28</v>
      </c>
      <c r="C24" s="19">
        <v>0.14870025062781644</v>
      </c>
      <c r="D24" s="19">
        <v>4.7374126057975821E-3</v>
      </c>
    </row>
    <row r="25" spans="1:4" x14ac:dyDescent="0.2">
      <c r="A25" s="28">
        <v>20</v>
      </c>
      <c r="B25" s="25" t="s">
        <v>28</v>
      </c>
      <c r="C25" s="19">
        <v>0.17077148279647353</v>
      </c>
      <c r="D25" s="19">
        <v>5.5994031122362621E-3</v>
      </c>
    </row>
    <row r="26" spans="1:4" x14ac:dyDescent="0.2">
      <c r="A26" s="28">
        <v>30</v>
      </c>
      <c r="B26" s="25" t="s">
        <v>28</v>
      </c>
      <c r="C26" s="19">
        <v>0.18872773947605892</v>
      </c>
      <c r="D26" s="19">
        <v>7.9018132965501982E-3</v>
      </c>
    </row>
    <row r="27" spans="1:4" x14ac:dyDescent="0.2">
      <c r="A27" s="28">
        <v>40</v>
      </c>
      <c r="B27" s="25" t="s">
        <v>28</v>
      </c>
      <c r="C27" s="19">
        <v>0.20518764143234555</v>
      </c>
      <c r="D27" s="19">
        <v>9.6430305105574838E-3</v>
      </c>
    </row>
    <row r="28" spans="1:4" x14ac:dyDescent="0.2">
      <c r="A28" s="28">
        <v>50</v>
      </c>
      <c r="B28" s="25" t="s">
        <v>28</v>
      </c>
      <c r="C28" s="19">
        <v>0.22089936602698282</v>
      </c>
      <c r="D28" s="19">
        <v>1.6157866319160094E-2</v>
      </c>
    </row>
    <row r="29" spans="1:4" x14ac:dyDescent="0.2">
      <c r="A29" s="28">
        <v>60</v>
      </c>
      <c r="B29" s="25" t="s">
        <v>28</v>
      </c>
      <c r="C29" s="19">
        <v>0.22987749436677549</v>
      </c>
      <c r="D29" s="19">
        <v>8.8041105519359539E-3</v>
      </c>
    </row>
    <row r="30" spans="1:4" x14ac:dyDescent="0.2">
      <c r="A30" s="28">
        <v>0</v>
      </c>
      <c r="B30" s="25" t="s">
        <v>29</v>
      </c>
      <c r="C30" s="19">
        <v>0</v>
      </c>
      <c r="D30" s="19">
        <v>0</v>
      </c>
    </row>
    <row r="31" spans="1:4" x14ac:dyDescent="0.2">
      <c r="A31" s="28">
        <v>10</v>
      </c>
      <c r="B31" s="25" t="s">
        <v>29</v>
      </c>
      <c r="C31" s="19">
        <v>0.1654109318630374</v>
      </c>
      <c r="D31" s="19">
        <v>6.889378713671299E-3</v>
      </c>
    </row>
    <row r="32" spans="1:4" x14ac:dyDescent="0.2">
      <c r="A32" s="28">
        <v>20</v>
      </c>
      <c r="B32" s="25" t="s">
        <v>29</v>
      </c>
      <c r="C32" s="19">
        <v>0.19209621949769229</v>
      </c>
      <c r="D32" s="19">
        <v>5.9433406917471726E-3</v>
      </c>
    </row>
    <row r="33" spans="1:4" x14ac:dyDescent="0.2">
      <c r="A33" s="28">
        <v>30</v>
      </c>
      <c r="B33" s="25" t="s">
        <v>29</v>
      </c>
      <c r="C33" s="19">
        <v>0.21651041882301469</v>
      </c>
      <c r="D33" s="19">
        <v>9.0798619478588138E-3</v>
      </c>
    </row>
    <row r="34" spans="1:4" x14ac:dyDescent="0.2">
      <c r="A34" s="28">
        <v>40</v>
      </c>
      <c r="B34" s="25" t="s">
        <v>29</v>
      </c>
      <c r="C34" s="19">
        <v>0.23676095624789459</v>
      </c>
      <c r="D34" s="19">
        <v>6.6616092082075733E-3</v>
      </c>
    </row>
    <row r="35" spans="1:4" x14ac:dyDescent="0.2">
      <c r="A35" s="28">
        <v>50</v>
      </c>
      <c r="B35" s="25" t="s">
        <v>29</v>
      </c>
      <c r="C35" s="19">
        <v>0.24754862571722319</v>
      </c>
      <c r="D35" s="19">
        <v>9.914027216797237E-3</v>
      </c>
    </row>
    <row r="36" spans="1:4" x14ac:dyDescent="0.2">
      <c r="A36" s="28">
        <v>60</v>
      </c>
      <c r="B36" s="25" t="s">
        <v>29</v>
      </c>
      <c r="C36" s="19">
        <v>0.26117515557321702</v>
      </c>
      <c r="D36" s="19">
        <v>1.2491589734997069E-2</v>
      </c>
    </row>
    <row r="37" spans="1:4" x14ac:dyDescent="0.2">
      <c r="A37" s="29">
        <v>0</v>
      </c>
      <c r="B37" s="25" t="s">
        <v>30</v>
      </c>
      <c r="C37" s="19">
        <v>0</v>
      </c>
      <c r="D37" s="19">
        <v>0</v>
      </c>
    </row>
    <row r="38" spans="1:4" x14ac:dyDescent="0.2">
      <c r="A38" s="29">
        <v>10</v>
      </c>
      <c r="B38" s="25" t="s">
        <v>30</v>
      </c>
      <c r="C38" s="19">
        <v>8.9107839232627592E-2</v>
      </c>
      <c r="D38" s="19">
        <v>4.2076193829529863E-3</v>
      </c>
    </row>
    <row r="39" spans="1:4" x14ac:dyDescent="0.2">
      <c r="A39" s="29">
        <v>20</v>
      </c>
      <c r="B39" s="25" t="s">
        <v>30</v>
      </c>
      <c r="C39" s="19">
        <v>0.12724527143969536</v>
      </c>
      <c r="D39" s="19">
        <v>5.2584090169823221E-3</v>
      </c>
    </row>
    <row r="40" spans="1:4" x14ac:dyDescent="0.2">
      <c r="A40" s="29">
        <v>30</v>
      </c>
      <c r="B40" s="25" t="s">
        <v>30</v>
      </c>
      <c r="C40" s="19">
        <v>0.15417644394610822</v>
      </c>
      <c r="D40" s="19">
        <v>1.1193958795716927E-2</v>
      </c>
    </row>
    <row r="41" spans="1:4" x14ac:dyDescent="0.2">
      <c r="A41" s="29">
        <v>40</v>
      </c>
      <c r="B41" s="25" t="s">
        <v>30</v>
      </c>
      <c r="C41" s="19">
        <v>0.17676970947162235</v>
      </c>
      <c r="D41" s="19">
        <v>1.6821182519487669E-2</v>
      </c>
    </row>
    <row r="42" spans="1:4" x14ac:dyDescent="0.2">
      <c r="A42" s="29">
        <v>50</v>
      </c>
      <c r="B42" s="25" t="s">
        <v>30</v>
      </c>
      <c r="C42" s="19">
        <v>0.20098969011497342</v>
      </c>
      <c r="D42" s="19">
        <v>2.1808998597307047E-2</v>
      </c>
    </row>
    <row r="43" spans="1:4" x14ac:dyDescent="0.2">
      <c r="A43" s="29">
        <v>60</v>
      </c>
      <c r="B43" s="25" t="s">
        <v>30</v>
      </c>
      <c r="C43" s="19">
        <v>0.22448668626150806</v>
      </c>
      <c r="D43" s="19">
        <v>2.8603152120732628E-2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Boat</vt:lpstr>
      <vt:lpstr>Formatting for R</vt:lpstr>
      <vt:lpstr>Figures for 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Mackenzie Jane Lanning</dc:creator>
  <cp:keywords/>
  <dc:description/>
  <cp:lastModifiedBy>Mackenzie Jane Lanning</cp:lastModifiedBy>
  <cp:revision/>
  <dcterms:created xsi:type="dcterms:W3CDTF">2025-10-23T20:44:26Z</dcterms:created>
  <dcterms:modified xsi:type="dcterms:W3CDTF">2026-04-24T14:07:16Z</dcterms:modified>
  <cp:category/>
  <cp:contentStatus/>
</cp:coreProperties>
</file>